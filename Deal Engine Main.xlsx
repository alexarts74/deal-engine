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. Main deal engine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5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coût de l'événement</t>
      </text>
    </comment>
    <comment authorId="0" ref="K5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Mois à partir duquel l'événement s'est passé</t>
      </text>
    </comment>
  </commentList>
</comments>
</file>

<file path=xl/sharedStrings.xml><?xml version="1.0" encoding="utf-8"?>
<sst xmlns="http://schemas.openxmlformats.org/spreadsheetml/2006/main" count="51" uniqueCount="33">
  <si>
    <t>Zone de modification</t>
  </si>
  <si>
    <t>Inputs</t>
  </si>
  <si>
    <t>Suivi des dépenses</t>
  </si>
  <si>
    <t>Fournisseur</t>
  </si>
  <si>
    <t xml:space="preserve">Evenement </t>
  </si>
  <si>
    <t>Coût</t>
  </si>
  <si>
    <t>Mois</t>
  </si>
  <si>
    <t>Durée (mois)</t>
  </si>
  <si>
    <t>1er Loyer HT</t>
  </si>
  <si>
    <t>Mensualité HT</t>
  </si>
  <si>
    <t>VR</t>
  </si>
  <si>
    <t>Client</t>
  </si>
  <si>
    <t>1er Cycle de Location</t>
  </si>
  <si>
    <t>Loyer Fi  HT</t>
  </si>
  <si>
    <t xml:space="preserve">Entretien mensuel HT </t>
  </si>
  <si>
    <t>VO</t>
  </si>
  <si>
    <t>2nd Cycle de Location</t>
  </si>
  <si>
    <t>Total 1er cycle de location</t>
  </si>
  <si>
    <t>-</t>
  </si>
  <si>
    <t>Total 1er + 2nd cycle de location</t>
  </si>
  <si>
    <t>Zone de résultat</t>
  </si>
  <si>
    <t>Outputs &amp; décisions</t>
  </si>
  <si>
    <t>CashOut</t>
  </si>
  <si>
    <t>CashIn</t>
  </si>
  <si>
    <t xml:space="preserve">Benefice Brut </t>
  </si>
  <si>
    <t>Interprétation</t>
  </si>
  <si>
    <t xml:space="preserve">Bénéfice Net </t>
  </si>
  <si>
    <t>BFR sur durée de location HORS mois de la revente</t>
  </si>
  <si>
    <t xml:space="preserve"> </t>
  </si>
  <si>
    <t xml:space="preserve">Détail cash flow </t>
  </si>
  <si>
    <t>Cash out</t>
  </si>
  <si>
    <t xml:space="preserve">Cash in </t>
  </si>
  <si>
    <t>Balance Cash (Valeur Net de l'actif)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</si>
</sst>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 * #,##0_)_ ;_ * \(#,##0\)_ ;_ * &quot;-&quot;??_)_ ;_ @_ "/>
    <numFmt numFmtId="165" formatCode="_ * #,##0_)\ &quot;€&quot;_ ;_ * \(#,##0\)\ &quot;€&quot;_ ;_ * &quot;-&quot;??_)\ &quot;€&quot;_ ;_ @_ "/>
    <numFmt numFmtId="166" formatCode="0.0%"/>
  </numFmts>
  <fonts count="10">
    <font>
      <sz val="12.0"/>
      <color theme="1"/>
      <name val="Aptos Narrow"/>
      <scheme val="minor"/>
    </font>
    <font>
      <b/>
      <sz val="12.0"/>
      <color theme="1"/>
      <name val="Aptos Narrow"/>
    </font>
    <font>
      <sz val="12.0"/>
      <color theme="1"/>
      <name val="Aptos Narrow"/>
    </font>
    <font>
      <b/>
      <sz val="18.0"/>
      <color theme="1"/>
      <name val="Aptos Narrow"/>
    </font>
    <font/>
    <font>
      <sz val="12.0"/>
      <color theme="1"/>
      <name val="Arial"/>
    </font>
    <font>
      <b/>
      <color theme="1"/>
      <name val="Arial"/>
    </font>
    <font>
      <b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FAE2D5"/>
        <bgColor rgb="FFFAE2D5"/>
      </patternFill>
    </fill>
    <fill>
      <patternFill patternType="solid">
        <fgColor rgb="FF7F7F7F"/>
        <bgColor rgb="FF7F7F7F"/>
      </patternFill>
    </fill>
    <fill>
      <patternFill patternType="solid">
        <fgColor rgb="FFD9F2D0"/>
        <bgColor rgb="FFD9F2D0"/>
      </patternFill>
    </fill>
  </fills>
  <borders count="11">
    <border/>
    <border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Font="1"/>
    <xf borderId="2" fillId="0" fontId="3" numFmtId="0" xfId="0" applyBorder="1" applyFont="1"/>
    <xf borderId="1" fillId="0" fontId="4" numFmtId="0" xfId="0" applyBorder="1" applyFont="1"/>
    <xf borderId="0" fillId="0" fontId="2" numFmtId="1" xfId="0" applyFont="1" applyNumberFormat="1"/>
    <xf borderId="0" fillId="0" fontId="2" numFmtId="0" xfId="0" applyAlignment="1" applyFont="1">
      <alignment vertical="center"/>
    </xf>
    <xf borderId="3" fillId="2" fontId="1" numFmtId="0" xfId="0" applyBorder="1" applyFill="1" applyFont="1"/>
    <xf borderId="3" fillId="0" fontId="1" numFmtId="0" xfId="0" applyBorder="1" applyFont="1"/>
    <xf borderId="3" fillId="2" fontId="2" numFmtId="0" xfId="0" applyBorder="1" applyFont="1"/>
    <xf borderId="3" fillId="2" fontId="5" numFmtId="164" xfId="0" applyAlignment="1" applyBorder="1" applyFont="1" applyNumberFormat="1">
      <alignment horizontal="right" readingOrder="0"/>
    </xf>
    <xf borderId="3" fillId="0" fontId="5" numFmtId="0" xfId="0" applyAlignment="1" applyBorder="1" applyFont="1">
      <alignment readingOrder="0"/>
    </xf>
    <xf borderId="3" fillId="0" fontId="2" numFmtId="0" xfId="0" applyBorder="1" applyFont="1"/>
    <xf borderId="0" fillId="0" fontId="2" numFmtId="164" xfId="0" applyAlignment="1" applyFont="1" applyNumberFormat="1">
      <alignment horizontal="right"/>
    </xf>
    <xf borderId="3" fillId="3" fontId="1" numFmtId="0" xfId="0" applyBorder="1" applyFill="1" applyFont="1"/>
    <xf borderId="4" fillId="0" fontId="1" numFmtId="0" xfId="0" applyAlignment="1" applyBorder="1" applyFont="1">
      <alignment horizontal="center" shrinkToFit="0" vertical="center" wrapText="1"/>
    </xf>
    <xf borderId="3" fillId="3" fontId="2" numFmtId="0" xfId="0" applyBorder="1" applyFont="1"/>
    <xf borderId="3" fillId="3" fontId="5" numFmtId="164" xfId="0" applyAlignment="1" applyBorder="1" applyFont="1" applyNumberFormat="1">
      <alignment horizontal="right" readingOrder="0"/>
    </xf>
    <xf borderId="5" fillId="0" fontId="4" numFmtId="0" xfId="0" applyBorder="1" applyFont="1"/>
    <xf borderId="3" fillId="3" fontId="5" numFmtId="165" xfId="0" applyAlignment="1" applyBorder="1" applyFont="1" applyNumberFormat="1">
      <alignment horizontal="right" readingOrder="0"/>
    </xf>
    <xf borderId="6" fillId="0" fontId="4" numFmtId="0" xfId="0" applyBorder="1" applyFont="1"/>
    <xf borderId="3" fillId="3" fontId="2" numFmtId="165" xfId="0" applyAlignment="1" applyBorder="1" applyFont="1" applyNumberFormat="1">
      <alignment horizontal="right"/>
    </xf>
    <xf borderId="3" fillId="4" fontId="1" numFmtId="0" xfId="0" applyAlignment="1" applyBorder="1" applyFill="1" applyFont="1">
      <alignment horizontal="center" vertical="center"/>
    </xf>
    <xf borderId="1" fillId="0" fontId="1" numFmtId="1" xfId="0" applyAlignment="1" applyBorder="1" applyFont="1" applyNumberFormat="1">
      <alignment horizontal="center" shrinkToFit="0" vertical="center" wrapText="1"/>
    </xf>
    <xf borderId="4" fillId="5" fontId="1" numFmtId="0" xfId="0" applyAlignment="1" applyBorder="1" applyFill="1" applyFont="1">
      <alignment horizontal="center" shrinkToFit="0" vertical="center" wrapText="1"/>
    </xf>
    <xf borderId="3" fillId="5" fontId="2" numFmtId="0" xfId="0" applyBorder="1" applyFont="1"/>
    <xf borderId="3" fillId="5" fontId="2" numFmtId="165" xfId="0" applyAlignment="1" applyBorder="1" applyFont="1" applyNumberFormat="1">
      <alignment horizontal="right"/>
    </xf>
    <xf borderId="3" fillId="5" fontId="2" numFmtId="0" xfId="0" applyAlignment="1" applyBorder="1" applyFont="1">
      <alignment shrinkToFit="0" vertical="center" wrapText="1"/>
    </xf>
    <xf borderId="3" fillId="5" fontId="2" numFmtId="0" xfId="0" applyAlignment="1" applyBorder="1" applyFont="1">
      <alignment horizontal="center" shrinkToFit="0" vertical="center" wrapText="1"/>
    </xf>
    <xf borderId="3" fillId="5" fontId="2" numFmtId="165" xfId="0" applyAlignment="1" applyBorder="1" applyFont="1" applyNumberFormat="1">
      <alignment shrinkToFit="0" vertical="center" wrapText="1"/>
    </xf>
    <xf borderId="0" fillId="0" fontId="2" numFmtId="166" xfId="0" applyFont="1" applyNumberFormat="1"/>
    <xf borderId="3" fillId="5" fontId="2" numFmtId="165" xfId="0" applyBorder="1" applyFont="1" applyNumberFormat="1"/>
    <xf borderId="0" fillId="0" fontId="6" numFmtId="0" xfId="0" applyAlignment="1" applyFont="1">
      <alignment readingOrder="0"/>
    </xf>
    <xf borderId="0" fillId="0" fontId="7" numFmtId="0" xfId="0" applyFont="1"/>
    <xf borderId="0" fillId="0" fontId="8" numFmtId="0" xfId="0" applyAlignment="1" applyFont="1">
      <alignment readingOrder="0"/>
    </xf>
    <xf borderId="1" fillId="0" fontId="6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right"/>
    </xf>
    <xf borderId="8" fillId="0" fontId="1" numFmtId="0" xfId="0" applyAlignment="1" applyBorder="1" applyFont="1">
      <alignment horizontal="right"/>
    </xf>
    <xf borderId="9" fillId="0" fontId="1" numFmtId="0" xfId="0" applyAlignment="1" applyBorder="1" applyFont="1">
      <alignment horizontal="right"/>
    </xf>
    <xf borderId="0" fillId="0" fontId="1" numFmtId="0" xfId="0" applyAlignment="1" applyFont="1">
      <alignment horizontal="right"/>
    </xf>
    <xf borderId="10" fillId="0" fontId="2" numFmtId="0" xfId="0" applyAlignment="1" applyBorder="1" applyFont="1">
      <alignment horizontal="right"/>
    </xf>
    <xf borderId="0" fillId="0" fontId="2" numFmtId="1" xfId="0" applyAlignment="1" applyFont="1" applyNumberFormat="1">
      <alignment horizontal="right"/>
    </xf>
    <xf borderId="1" fillId="0" fontId="2" numFmtId="1" xfId="0" applyAlignment="1" applyBorder="1" applyFont="1" applyNumberFormat="1">
      <alignment horizontal="right"/>
    </xf>
    <xf borderId="0" fillId="0" fontId="9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0.56"/>
    <col customWidth="1" min="2" max="2" width="16.67"/>
    <col customWidth="1" min="3" max="3" width="13.67"/>
    <col customWidth="1" min="4" max="4" width="16.0"/>
    <col customWidth="1" min="5" max="5" width="30.11"/>
    <col customWidth="1" min="6" max="6" width="10.56"/>
    <col customWidth="1" min="7" max="7" width="28.89"/>
    <col customWidth="1" min="8" max="8" width="10.56"/>
    <col customWidth="1" min="9" max="9" width="28.22"/>
    <col customWidth="1" min="10" max="10" width="30.11"/>
    <col customWidth="1" min="11" max="11" width="14.67"/>
    <col customWidth="1" min="12" max="12" width="28.89"/>
    <col customWidth="1" min="13" max="13" width="10.33"/>
    <col customWidth="1" min="14" max="14" width="9.33"/>
    <col customWidth="1" min="15" max="15" width="44.67"/>
    <col customWidth="1" min="16" max="16" width="11.78"/>
    <col customWidth="1" min="17" max="17" width="14.11"/>
    <col customWidth="1" min="18" max="18" width="8.0"/>
    <col customWidth="1" min="19" max="19" width="28.22"/>
    <col customWidth="1" min="20" max="20" width="10.11"/>
    <col customWidth="1" min="21" max="26" width="10.56"/>
  </cols>
  <sheetData>
    <row r="1" ht="15.75" customHeight="1"/>
    <row r="2" ht="15.75" customHeight="1"/>
    <row r="3" ht="15.75" customHeight="1">
      <c r="B3" s="1" t="s">
        <v>0</v>
      </c>
      <c r="C3" s="2"/>
      <c r="E3" s="3" t="s">
        <v>1</v>
      </c>
      <c r="I3" s="3" t="s">
        <v>2</v>
      </c>
    </row>
    <row r="4" ht="15.75" customHeight="1">
      <c r="B4" s="4"/>
      <c r="C4" s="5"/>
      <c r="W4" s="6"/>
    </row>
    <row r="5" ht="15.75" customHeight="1">
      <c r="B5" s="4"/>
      <c r="C5" s="5"/>
      <c r="E5" s="7" t="s">
        <v>3</v>
      </c>
      <c r="I5" s="8" t="s">
        <v>4</v>
      </c>
      <c r="J5" s="8" t="s">
        <v>5</v>
      </c>
      <c r="K5" s="8" t="s">
        <v>6</v>
      </c>
    </row>
    <row r="6" ht="15.75" customHeight="1">
      <c r="B6" s="4"/>
      <c r="C6" s="5"/>
      <c r="E6" s="9" t="s">
        <v>7</v>
      </c>
      <c r="F6" s="10">
        <v>48.0</v>
      </c>
      <c r="I6" s="11"/>
      <c r="J6" s="11"/>
      <c r="K6" s="11"/>
    </row>
    <row r="7" ht="15.75" customHeight="1">
      <c r="B7" s="4"/>
      <c r="C7" s="5"/>
      <c r="E7" s="9" t="s">
        <v>8</v>
      </c>
      <c r="F7" s="10">
        <v>2218.09</v>
      </c>
      <c r="I7" s="12"/>
      <c r="J7" s="12"/>
      <c r="K7" s="12"/>
    </row>
    <row r="8" ht="15.75" customHeight="1">
      <c r="B8" s="4"/>
      <c r="C8" s="5"/>
      <c r="E8" s="9" t="s">
        <v>9</v>
      </c>
      <c r="F8" s="10">
        <v>274.55</v>
      </c>
      <c r="I8" s="12"/>
      <c r="J8" s="12"/>
      <c r="K8" s="12"/>
    </row>
    <row r="9" ht="15.75" customHeight="1">
      <c r="B9" s="4"/>
      <c r="C9" s="5"/>
      <c r="E9" s="9" t="s">
        <v>10</v>
      </c>
      <c r="F9" s="10">
        <v>739.36</v>
      </c>
      <c r="I9" s="12"/>
      <c r="J9" s="12"/>
      <c r="K9" s="12"/>
    </row>
    <row r="10" ht="15.75" customHeight="1">
      <c r="B10" s="4"/>
      <c r="C10" s="5"/>
      <c r="F10" s="13"/>
      <c r="I10" s="12"/>
      <c r="J10" s="12"/>
      <c r="K10" s="12"/>
    </row>
    <row r="11" ht="15.75" customHeight="1">
      <c r="B11" s="4"/>
      <c r="C11" s="5"/>
      <c r="E11" s="14" t="s">
        <v>11</v>
      </c>
      <c r="F11" s="13"/>
      <c r="I11" s="12"/>
      <c r="J11" s="12"/>
      <c r="K11" s="12"/>
    </row>
    <row r="12" ht="23.25" customHeight="1">
      <c r="B12" s="4"/>
      <c r="C12" s="5"/>
      <c r="D12" s="15" t="s">
        <v>12</v>
      </c>
      <c r="E12" s="16" t="s">
        <v>7</v>
      </c>
      <c r="F12" s="17">
        <v>48.0</v>
      </c>
      <c r="I12" s="12"/>
      <c r="J12" s="12"/>
      <c r="K12" s="12"/>
    </row>
    <row r="13" ht="23.25" customHeight="1">
      <c r="B13" s="4"/>
      <c r="C13" s="5"/>
      <c r="D13" s="18"/>
      <c r="E13" s="16" t="s">
        <v>13</v>
      </c>
      <c r="F13" s="19">
        <v>307.5</v>
      </c>
      <c r="I13" s="12"/>
      <c r="J13" s="12"/>
      <c r="K13" s="12"/>
    </row>
    <row r="14" ht="23.25" customHeight="1">
      <c r="B14" s="4"/>
      <c r="C14" s="5"/>
      <c r="D14" s="18"/>
      <c r="E14" s="16" t="s">
        <v>14</v>
      </c>
      <c r="F14" s="19">
        <v>0.0</v>
      </c>
      <c r="I14" s="12"/>
      <c r="J14" s="12"/>
      <c r="K14" s="12"/>
    </row>
    <row r="15" ht="23.25" customHeight="1">
      <c r="B15" s="4"/>
      <c r="C15" s="5"/>
      <c r="D15" s="20"/>
      <c r="E15" s="16" t="s">
        <v>15</v>
      </c>
      <c r="F15" s="19">
        <v>13145.0</v>
      </c>
      <c r="I15" s="12"/>
      <c r="J15" s="12"/>
      <c r="K15" s="12"/>
    </row>
    <row r="16" ht="15.75" customHeight="1">
      <c r="B16" s="4"/>
      <c r="C16" s="5"/>
      <c r="F16" s="13"/>
      <c r="I16" s="12"/>
      <c r="J16" s="12"/>
      <c r="K16" s="12"/>
    </row>
    <row r="17" ht="24.75" customHeight="1">
      <c r="B17" s="4"/>
      <c r="C17" s="5"/>
      <c r="D17" s="15" t="s">
        <v>16</v>
      </c>
      <c r="E17" s="16" t="s">
        <v>7</v>
      </c>
      <c r="F17" s="17">
        <v>0.0</v>
      </c>
      <c r="I17" s="12"/>
      <c r="J17" s="12"/>
      <c r="K17" s="12"/>
    </row>
    <row r="18" ht="24.75" customHeight="1">
      <c r="B18" s="4"/>
      <c r="C18" s="5"/>
      <c r="D18" s="18"/>
      <c r="E18" s="16" t="s">
        <v>13</v>
      </c>
      <c r="F18" s="21">
        <v>460.0</v>
      </c>
      <c r="I18" s="12"/>
      <c r="J18" s="12"/>
      <c r="K18" s="12"/>
    </row>
    <row r="19" ht="24.75" customHeight="1">
      <c r="B19" s="4"/>
      <c r="C19" s="5"/>
      <c r="D19" s="18"/>
      <c r="E19" s="16" t="s">
        <v>14</v>
      </c>
      <c r="F19" s="21">
        <v>65.0</v>
      </c>
      <c r="I19" s="8" t="s">
        <v>17</v>
      </c>
      <c r="J19" s="8">
        <f>SUMIF(K6:K18,"&lt;=24",J6:J18)</f>
        <v>0</v>
      </c>
      <c r="K19" s="22" t="s">
        <v>18</v>
      </c>
    </row>
    <row r="20" ht="24.75" customHeight="1">
      <c r="B20" s="4"/>
      <c r="C20" s="5"/>
      <c r="D20" s="20"/>
      <c r="E20" s="16" t="s">
        <v>15</v>
      </c>
      <c r="F20" s="21">
        <v>18500.0</v>
      </c>
      <c r="I20" s="8" t="s">
        <v>19</v>
      </c>
      <c r="J20" s="8">
        <f>SUMIF(K6:K18,"&gt;"&amp;F12,J6:J18)+J19
</f>
        <v>0</v>
      </c>
      <c r="K20" s="22" t="s">
        <v>18</v>
      </c>
    </row>
    <row r="21" ht="15.75" customHeight="1">
      <c r="B21" s="5"/>
      <c r="C21" s="5"/>
      <c r="F21" s="13"/>
    </row>
    <row r="22" ht="15.75" customHeight="1">
      <c r="B22" s="5"/>
      <c r="C22" s="5"/>
      <c r="F22" s="13"/>
    </row>
    <row r="23" ht="15.75" customHeight="1">
      <c r="B23" s="5"/>
      <c r="C23" s="5"/>
      <c r="F23" s="13"/>
    </row>
    <row r="24" ht="15.75" customHeight="1">
      <c r="B24" s="5"/>
      <c r="C24" s="5"/>
      <c r="F24" s="13"/>
    </row>
    <row r="25" ht="15.75" customHeight="1">
      <c r="B25" s="5"/>
      <c r="C25" s="5"/>
      <c r="F25" s="13"/>
    </row>
    <row r="26" ht="15.75" customHeight="1">
      <c r="B26" s="5"/>
      <c r="C26" s="5"/>
      <c r="F26" s="13"/>
    </row>
    <row r="27" ht="36.0" customHeight="1">
      <c r="B27" s="23" t="s">
        <v>20</v>
      </c>
      <c r="C27" s="5"/>
      <c r="E27" s="3" t="s">
        <v>21</v>
      </c>
      <c r="F27" s="13"/>
    </row>
    <row r="28" ht="15.75" customHeight="1">
      <c r="B28" s="4"/>
      <c r="C28" s="5"/>
      <c r="F28" s="13"/>
    </row>
    <row r="29" ht="15.75" customHeight="1">
      <c r="B29" s="4"/>
      <c r="C29" s="5"/>
      <c r="D29" s="24" t="s">
        <v>12</v>
      </c>
      <c r="E29" s="25" t="s">
        <v>22</v>
      </c>
      <c r="F29" s="26">
        <f>SUM(E54:E151)</f>
        <v>15861.3</v>
      </c>
    </row>
    <row r="30" ht="15.75" customHeight="1">
      <c r="B30" s="4"/>
      <c r="C30" s="5"/>
      <c r="D30" s="18"/>
      <c r="E30" s="25" t="s">
        <v>23</v>
      </c>
      <c r="F30" s="26">
        <f>SUM(F54:F151)</f>
        <v>27905</v>
      </c>
    </row>
    <row r="31" ht="15.75" customHeight="1">
      <c r="B31" s="4"/>
      <c r="C31" s="5"/>
      <c r="D31" s="18"/>
      <c r="E31" s="25" t="s">
        <v>24</v>
      </c>
      <c r="F31" s="26">
        <f>F30-F29</f>
        <v>12043.7</v>
      </c>
    </row>
    <row r="32" ht="75.0" customHeight="1">
      <c r="B32" s="4"/>
      <c r="C32" s="5"/>
      <c r="D32" s="18"/>
      <c r="E32" s="27" t="s">
        <v>25</v>
      </c>
      <c r="F32" s="28" t="str">
        <f>IF(F31&lt;0,"Augmenter valeur client ou deuxième cycle de location","Deal gagnant")</f>
        <v>Deal gagnant</v>
      </c>
    </row>
    <row r="33" ht="15.75" customHeight="1">
      <c r="B33" s="4"/>
      <c r="C33" s="5"/>
      <c r="D33" s="20"/>
      <c r="E33" s="27" t="s">
        <v>26</v>
      </c>
      <c r="F33" s="29">
        <f>F31-J19</f>
        <v>12043.7</v>
      </c>
      <c r="G33" s="30"/>
    </row>
    <row r="34" ht="15.75" customHeight="1">
      <c r="B34" s="4"/>
      <c r="C34" s="5"/>
      <c r="G34" s="30"/>
    </row>
    <row r="35" ht="15.75" customHeight="1">
      <c r="B35" s="4"/>
      <c r="C35" s="5"/>
      <c r="D35" s="24" t="s">
        <v>16</v>
      </c>
      <c r="E35" s="25" t="s">
        <v>22</v>
      </c>
      <c r="F35" s="31">
        <f>IF(F17&lt;&gt;0,SUM(J54:J151),0)</f>
        <v>0</v>
      </c>
    </row>
    <row r="36" ht="15.75" customHeight="1">
      <c r="B36" s="4"/>
      <c r="C36" s="5"/>
      <c r="D36" s="18"/>
      <c r="E36" s="25" t="s">
        <v>23</v>
      </c>
      <c r="F36" s="31">
        <f>IF(F17&lt;&gt;0,F12*(F13+F14)+F17*(F18+F19)+F20,0)</f>
        <v>0</v>
      </c>
    </row>
    <row r="37" ht="15.75" customHeight="1">
      <c r="B37" s="4"/>
      <c r="C37" s="5"/>
      <c r="D37" s="18"/>
      <c r="E37" s="25" t="s">
        <v>24</v>
      </c>
      <c r="F37" s="31">
        <f>F36-F35</f>
        <v>0</v>
      </c>
    </row>
    <row r="38" ht="78.75" customHeight="1">
      <c r="B38" s="4"/>
      <c r="C38" s="5"/>
      <c r="D38" s="18"/>
      <c r="E38" s="27" t="s">
        <v>25</v>
      </c>
      <c r="F38" s="28" t="str">
        <f>IF(F17&lt;&gt;0,IF(F37&lt;0,"Deal à perte","Deal gagnant"),"-")</f>
        <v>-</v>
      </c>
    </row>
    <row r="39" ht="22.5" customHeight="1">
      <c r="B39" s="4"/>
      <c r="C39" s="5"/>
      <c r="D39" s="20"/>
      <c r="E39" s="27" t="s">
        <v>26</v>
      </c>
      <c r="F39" s="29">
        <f>F37-J20</f>
        <v>0</v>
      </c>
    </row>
    <row r="40" ht="15.75" customHeight="1">
      <c r="B40" s="5"/>
      <c r="C40" s="5"/>
    </row>
    <row r="41" ht="15.75" customHeight="1">
      <c r="B41" s="5"/>
      <c r="C41" s="5"/>
      <c r="E41" s="32" t="s">
        <v>27</v>
      </c>
      <c r="F41" s="33">
        <f>SUMIF(D54:D151,"&lt;"&amp;$F$12,G54:G151)+SUMIF(I54:I151,"&lt;"&amp;$F$17,L54:L151)-(J19+J20)</f>
        <v>-394.89</v>
      </c>
    </row>
    <row r="42" ht="15.75" customHeight="1">
      <c r="B42" s="5"/>
      <c r="C42" s="5"/>
    </row>
    <row r="43" ht="15.75" customHeight="1">
      <c r="B43" s="5"/>
      <c r="C43" s="5"/>
    </row>
    <row r="44" ht="15.75" customHeight="1">
      <c r="K44" s="5"/>
      <c r="L44" s="5"/>
      <c r="M44" s="5"/>
    </row>
    <row r="45" ht="15.75" customHeight="1">
      <c r="K45" s="5"/>
      <c r="L45" s="5"/>
      <c r="M45" s="5"/>
      <c r="O45" s="34" t="s">
        <v>28</v>
      </c>
    </row>
    <row r="46" ht="15.75" customHeight="1">
      <c r="K46" s="5"/>
      <c r="L46" s="5"/>
      <c r="M46" s="5"/>
    </row>
    <row r="47" ht="15.75" customHeight="1">
      <c r="K47" s="5"/>
      <c r="L47" s="5"/>
      <c r="M47" s="5"/>
    </row>
    <row r="48" ht="15.75" customHeight="1">
      <c r="K48" s="5"/>
      <c r="L48" s="5"/>
      <c r="M48" s="5"/>
    </row>
    <row r="49" ht="15.75" customHeight="1">
      <c r="K49" s="5"/>
      <c r="L49" s="5"/>
      <c r="M49" s="5"/>
    </row>
    <row r="50" ht="15.75" customHeight="1">
      <c r="K50" s="5"/>
      <c r="L50" s="5"/>
      <c r="M50" s="5"/>
    </row>
    <row r="51" ht="15.75" customHeight="1">
      <c r="K51" s="5"/>
      <c r="L51" s="5"/>
      <c r="M51" s="5"/>
    </row>
    <row r="52" ht="15.75" customHeight="1">
      <c r="K52" s="5"/>
      <c r="L52" s="5"/>
      <c r="M52" s="5"/>
    </row>
    <row r="53" ht="15.75" customHeight="1">
      <c r="B53" s="35" t="s">
        <v>29</v>
      </c>
      <c r="D53" s="36" t="s">
        <v>6</v>
      </c>
      <c r="E53" s="37" t="s">
        <v>30</v>
      </c>
      <c r="F53" s="37" t="s">
        <v>31</v>
      </c>
      <c r="G53" s="38" t="s">
        <v>32</v>
      </c>
      <c r="H53" s="39"/>
      <c r="I53" s="36" t="s">
        <v>6</v>
      </c>
      <c r="J53" s="37" t="s">
        <v>30</v>
      </c>
      <c r="K53" s="37" t="s">
        <v>31</v>
      </c>
      <c r="L53" s="38" t="s">
        <v>32</v>
      </c>
      <c r="M53" s="5"/>
    </row>
    <row r="54" ht="15.75" customHeight="1">
      <c r="B54" s="4"/>
      <c r="D54" s="40">
        <v>1.0</v>
      </c>
      <c r="E54" s="41">
        <f>F7</f>
        <v>2218.09</v>
      </c>
      <c r="F54" s="41">
        <f t="shared" ref="F54:F151" si="1">IF(D54&lt;=$F$12,$F$13+$F$14,0)+IF(D54=$F$12,$F$15,0)</f>
        <v>307.5</v>
      </c>
      <c r="G54" s="42">
        <f t="shared" ref="G54:G150" si="2">IF(D54&lt;=$F$12,F54-E54-IF(D54=$F$12,SUM($E55:E$151),0),0)</f>
        <v>-1910.59</v>
      </c>
      <c r="H54" s="43"/>
      <c r="I54" s="40">
        <v>1.0</v>
      </c>
      <c r="J54" s="41">
        <f>F7</f>
        <v>2218.09</v>
      </c>
      <c r="K54" s="41">
        <f t="shared" ref="K54:K151" si="3">IF(I54&lt;=$F$17,$F$18+$F$19,0)+IF(I54=$F$17,$F$20,0)</f>
        <v>0</v>
      </c>
      <c r="L54" s="42">
        <f t="shared" ref="L54:L150" si="4">IF(I54&lt;=$F$12,K54-J54-IF(I54=$F$12,SUM($J55:J$151),0),0)</f>
        <v>-2218.09</v>
      </c>
      <c r="M54" s="5"/>
    </row>
    <row r="55" ht="15.75" customHeight="1">
      <c r="B55" s="4"/>
      <c r="D55" s="40">
        <f t="shared" ref="D55:D151" si="5">IF(D54&lt;$F$6,D54+1,"Fin du financement")</f>
        <v>2</v>
      </c>
      <c r="E55" s="41">
        <f t="shared" ref="E55:E101" si="6">IF(D55&lt;=$F$6,$F$8,"")+IF(D55=$F$6,$F$9,0)</f>
        <v>274.55</v>
      </c>
      <c r="F55" s="41">
        <f t="shared" si="1"/>
        <v>307.5</v>
      </c>
      <c r="G55" s="42">
        <f t="shared" si="2"/>
        <v>32.95</v>
      </c>
      <c r="H55" s="43"/>
      <c r="I55" s="40">
        <f t="shared" ref="I55:I151" si="7">IF(I54&lt;$F$6,I54+1,"Fin du financement")</f>
        <v>2</v>
      </c>
      <c r="J55" s="41">
        <f t="shared" ref="J55:J101" si="8">IF(I55&lt;=$F$6,$F$8,"")+IF(I55=$F$6,$F$9,0)</f>
        <v>274.55</v>
      </c>
      <c r="K55" s="41">
        <f t="shared" si="3"/>
        <v>0</v>
      </c>
      <c r="L55" s="42">
        <f t="shared" si="4"/>
        <v>-274.55</v>
      </c>
      <c r="M55" s="5"/>
    </row>
    <row r="56" ht="15.75" customHeight="1">
      <c r="B56" s="4"/>
      <c r="D56" s="40">
        <f t="shared" si="5"/>
        <v>3</v>
      </c>
      <c r="E56" s="41">
        <f t="shared" si="6"/>
        <v>274.55</v>
      </c>
      <c r="F56" s="41">
        <f t="shared" si="1"/>
        <v>307.5</v>
      </c>
      <c r="G56" s="42">
        <f t="shared" si="2"/>
        <v>32.95</v>
      </c>
      <c r="H56" s="43"/>
      <c r="I56" s="40">
        <f t="shared" si="7"/>
        <v>3</v>
      </c>
      <c r="J56" s="41">
        <f t="shared" si="8"/>
        <v>274.55</v>
      </c>
      <c r="K56" s="41">
        <f t="shared" si="3"/>
        <v>0</v>
      </c>
      <c r="L56" s="42">
        <f t="shared" si="4"/>
        <v>-274.55</v>
      </c>
      <c r="M56" s="5"/>
    </row>
    <row r="57" ht="15.75" customHeight="1">
      <c r="B57" s="4"/>
      <c r="D57" s="40">
        <f t="shared" si="5"/>
        <v>4</v>
      </c>
      <c r="E57" s="41">
        <f t="shared" si="6"/>
        <v>274.55</v>
      </c>
      <c r="F57" s="41">
        <f t="shared" si="1"/>
        <v>307.5</v>
      </c>
      <c r="G57" s="42">
        <f t="shared" si="2"/>
        <v>32.95</v>
      </c>
      <c r="H57" s="43"/>
      <c r="I57" s="40">
        <f t="shared" si="7"/>
        <v>4</v>
      </c>
      <c r="J57" s="41">
        <f t="shared" si="8"/>
        <v>274.55</v>
      </c>
      <c r="K57" s="41">
        <f t="shared" si="3"/>
        <v>0</v>
      </c>
      <c r="L57" s="42">
        <f t="shared" si="4"/>
        <v>-274.55</v>
      </c>
      <c r="M57" s="5"/>
    </row>
    <row r="58" ht="15.75" customHeight="1">
      <c r="B58" s="4"/>
      <c r="D58" s="40">
        <f t="shared" si="5"/>
        <v>5</v>
      </c>
      <c r="E58" s="41">
        <f t="shared" si="6"/>
        <v>274.55</v>
      </c>
      <c r="F58" s="41">
        <f t="shared" si="1"/>
        <v>307.5</v>
      </c>
      <c r="G58" s="42">
        <f t="shared" si="2"/>
        <v>32.95</v>
      </c>
      <c r="H58" s="43"/>
      <c r="I58" s="40">
        <f t="shared" si="7"/>
        <v>5</v>
      </c>
      <c r="J58" s="41">
        <f t="shared" si="8"/>
        <v>274.55</v>
      </c>
      <c r="K58" s="41">
        <f t="shared" si="3"/>
        <v>0</v>
      </c>
      <c r="L58" s="42">
        <f t="shared" si="4"/>
        <v>-274.55</v>
      </c>
      <c r="M58" s="5"/>
    </row>
    <row r="59" ht="15.75" customHeight="1">
      <c r="B59" s="4"/>
      <c r="D59" s="40">
        <f t="shared" si="5"/>
        <v>6</v>
      </c>
      <c r="E59" s="41">
        <f t="shared" si="6"/>
        <v>274.55</v>
      </c>
      <c r="F59" s="41">
        <f t="shared" si="1"/>
        <v>307.5</v>
      </c>
      <c r="G59" s="42">
        <f t="shared" si="2"/>
        <v>32.95</v>
      </c>
      <c r="H59" s="43"/>
      <c r="I59" s="40">
        <f t="shared" si="7"/>
        <v>6</v>
      </c>
      <c r="J59" s="41">
        <f t="shared" si="8"/>
        <v>274.55</v>
      </c>
      <c r="K59" s="41">
        <f t="shared" si="3"/>
        <v>0</v>
      </c>
      <c r="L59" s="42">
        <f t="shared" si="4"/>
        <v>-274.55</v>
      </c>
      <c r="M59" s="5"/>
    </row>
    <row r="60" ht="15.75" customHeight="1">
      <c r="B60" s="4"/>
      <c r="D60" s="40">
        <f t="shared" si="5"/>
        <v>7</v>
      </c>
      <c r="E60" s="41">
        <f t="shared" si="6"/>
        <v>274.55</v>
      </c>
      <c r="F60" s="41">
        <f t="shared" si="1"/>
        <v>307.5</v>
      </c>
      <c r="G60" s="42">
        <f t="shared" si="2"/>
        <v>32.95</v>
      </c>
      <c r="H60" s="43"/>
      <c r="I60" s="40">
        <f t="shared" si="7"/>
        <v>7</v>
      </c>
      <c r="J60" s="41">
        <f t="shared" si="8"/>
        <v>274.55</v>
      </c>
      <c r="K60" s="41">
        <f t="shared" si="3"/>
        <v>0</v>
      </c>
      <c r="L60" s="42">
        <f t="shared" si="4"/>
        <v>-274.55</v>
      </c>
      <c r="M60" s="5"/>
    </row>
    <row r="61" ht="15.75" customHeight="1">
      <c r="B61" s="4"/>
      <c r="D61" s="40">
        <f t="shared" si="5"/>
        <v>8</v>
      </c>
      <c r="E61" s="41">
        <f t="shared" si="6"/>
        <v>274.55</v>
      </c>
      <c r="F61" s="41">
        <f t="shared" si="1"/>
        <v>307.5</v>
      </c>
      <c r="G61" s="42">
        <f t="shared" si="2"/>
        <v>32.95</v>
      </c>
      <c r="H61" s="43"/>
      <c r="I61" s="40">
        <f t="shared" si="7"/>
        <v>8</v>
      </c>
      <c r="J61" s="41">
        <f t="shared" si="8"/>
        <v>274.55</v>
      </c>
      <c r="K61" s="41">
        <f t="shared" si="3"/>
        <v>0</v>
      </c>
      <c r="L61" s="42">
        <f t="shared" si="4"/>
        <v>-274.55</v>
      </c>
      <c r="M61" s="5"/>
    </row>
    <row r="62" ht="15.75" customHeight="1">
      <c r="B62" s="4"/>
      <c r="D62" s="40">
        <f t="shared" si="5"/>
        <v>9</v>
      </c>
      <c r="E62" s="41">
        <f t="shared" si="6"/>
        <v>274.55</v>
      </c>
      <c r="F62" s="41">
        <f t="shared" si="1"/>
        <v>307.5</v>
      </c>
      <c r="G62" s="42">
        <f t="shared" si="2"/>
        <v>32.95</v>
      </c>
      <c r="H62" s="43"/>
      <c r="I62" s="40">
        <f t="shared" si="7"/>
        <v>9</v>
      </c>
      <c r="J62" s="41">
        <f t="shared" si="8"/>
        <v>274.55</v>
      </c>
      <c r="K62" s="41">
        <f t="shared" si="3"/>
        <v>0</v>
      </c>
      <c r="L62" s="42">
        <f t="shared" si="4"/>
        <v>-274.55</v>
      </c>
      <c r="M62" s="5"/>
    </row>
    <row r="63" ht="15.75" customHeight="1">
      <c r="B63" s="4"/>
      <c r="D63" s="40">
        <f t="shared" si="5"/>
        <v>10</v>
      </c>
      <c r="E63" s="41">
        <f t="shared" si="6"/>
        <v>274.55</v>
      </c>
      <c r="F63" s="41">
        <f t="shared" si="1"/>
        <v>307.5</v>
      </c>
      <c r="G63" s="42">
        <f t="shared" si="2"/>
        <v>32.95</v>
      </c>
      <c r="H63" s="43"/>
      <c r="I63" s="40">
        <f t="shared" si="7"/>
        <v>10</v>
      </c>
      <c r="J63" s="41">
        <f t="shared" si="8"/>
        <v>274.55</v>
      </c>
      <c r="K63" s="41">
        <f t="shared" si="3"/>
        <v>0</v>
      </c>
      <c r="L63" s="42">
        <f t="shared" si="4"/>
        <v>-274.55</v>
      </c>
      <c r="M63" s="5"/>
    </row>
    <row r="64" ht="15.75" customHeight="1">
      <c r="B64" s="4"/>
      <c r="D64" s="40">
        <f t="shared" si="5"/>
        <v>11</v>
      </c>
      <c r="E64" s="41">
        <f t="shared" si="6"/>
        <v>274.55</v>
      </c>
      <c r="F64" s="41">
        <f t="shared" si="1"/>
        <v>307.5</v>
      </c>
      <c r="G64" s="42">
        <f t="shared" si="2"/>
        <v>32.95</v>
      </c>
      <c r="H64" s="43"/>
      <c r="I64" s="40">
        <f t="shared" si="7"/>
        <v>11</v>
      </c>
      <c r="J64" s="41">
        <f t="shared" si="8"/>
        <v>274.55</v>
      </c>
      <c r="K64" s="41">
        <f t="shared" si="3"/>
        <v>0</v>
      </c>
      <c r="L64" s="42">
        <f t="shared" si="4"/>
        <v>-274.55</v>
      </c>
      <c r="M64" s="5"/>
    </row>
    <row r="65" ht="15.75" customHeight="1">
      <c r="B65" s="4"/>
      <c r="D65" s="40">
        <f t="shared" si="5"/>
        <v>12</v>
      </c>
      <c r="E65" s="41">
        <f t="shared" si="6"/>
        <v>274.55</v>
      </c>
      <c r="F65" s="41">
        <f t="shared" si="1"/>
        <v>307.5</v>
      </c>
      <c r="G65" s="42">
        <f t="shared" si="2"/>
        <v>32.95</v>
      </c>
      <c r="H65" s="43"/>
      <c r="I65" s="40">
        <f t="shared" si="7"/>
        <v>12</v>
      </c>
      <c r="J65" s="41">
        <f t="shared" si="8"/>
        <v>274.55</v>
      </c>
      <c r="K65" s="41">
        <f t="shared" si="3"/>
        <v>0</v>
      </c>
      <c r="L65" s="42">
        <f t="shared" si="4"/>
        <v>-274.55</v>
      </c>
      <c r="M65" s="5"/>
    </row>
    <row r="66" ht="15.75" customHeight="1">
      <c r="B66" s="4"/>
      <c r="D66" s="40">
        <f t="shared" si="5"/>
        <v>13</v>
      </c>
      <c r="E66" s="41">
        <f t="shared" si="6"/>
        <v>274.55</v>
      </c>
      <c r="F66" s="41">
        <f t="shared" si="1"/>
        <v>307.5</v>
      </c>
      <c r="G66" s="42">
        <f t="shared" si="2"/>
        <v>32.95</v>
      </c>
      <c r="H66" s="43"/>
      <c r="I66" s="40">
        <f t="shared" si="7"/>
        <v>13</v>
      </c>
      <c r="J66" s="41">
        <f t="shared" si="8"/>
        <v>274.55</v>
      </c>
      <c r="K66" s="41">
        <f t="shared" si="3"/>
        <v>0</v>
      </c>
      <c r="L66" s="42">
        <f t="shared" si="4"/>
        <v>-274.55</v>
      </c>
      <c r="M66" s="5"/>
    </row>
    <row r="67" ht="15.75" customHeight="1">
      <c r="B67" s="4"/>
      <c r="D67" s="40">
        <f t="shared" si="5"/>
        <v>14</v>
      </c>
      <c r="E67" s="41">
        <f t="shared" si="6"/>
        <v>274.55</v>
      </c>
      <c r="F67" s="41">
        <f t="shared" si="1"/>
        <v>307.5</v>
      </c>
      <c r="G67" s="42">
        <f t="shared" si="2"/>
        <v>32.95</v>
      </c>
      <c r="H67" s="43"/>
      <c r="I67" s="40">
        <f t="shared" si="7"/>
        <v>14</v>
      </c>
      <c r="J67" s="41">
        <f t="shared" si="8"/>
        <v>274.55</v>
      </c>
      <c r="K67" s="41">
        <f t="shared" si="3"/>
        <v>0</v>
      </c>
      <c r="L67" s="42">
        <f t="shared" si="4"/>
        <v>-274.55</v>
      </c>
      <c r="M67" s="5"/>
    </row>
    <row r="68" ht="15.75" customHeight="1">
      <c r="B68" s="4"/>
      <c r="D68" s="40">
        <f t="shared" si="5"/>
        <v>15</v>
      </c>
      <c r="E68" s="41">
        <f t="shared" si="6"/>
        <v>274.55</v>
      </c>
      <c r="F68" s="41">
        <f t="shared" si="1"/>
        <v>307.5</v>
      </c>
      <c r="G68" s="42">
        <f t="shared" si="2"/>
        <v>32.95</v>
      </c>
      <c r="H68" s="43"/>
      <c r="I68" s="40">
        <f t="shared" si="7"/>
        <v>15</v>
      </c>
      <c r="J68" s="41">
        <f t="shared" si="8"/>
        <v>274.55</v>
      </c>
      <c r="K68" s="41">
        <f t="shared" si="3"/>
        <v>0</v>
      </c>
      <c r="L68" s="42">
        <f t="shared" si="4"/>
        <v>-274.55</v>
      </c>
      <c r="M68" s="5"/>
    </row>
    <row r="69" ht="15.75" customHeight="1">
      <c r="B69" s="4"/>
      <c r="D69" s="40">
        <f t="shared" si="5"/>
        <v>16</v>
      </c>
      <c r="E69" s="41">
        <f t="shared" si="6"/>
        <v>274.55</v>
      </c>
      <c r="F69" s="41">
        <f t="shared" si="1"/>
        <v>307.5</v>
      </c>
      <c r="G69" s="42">
        <f t="shared" si="2"/>
        <v>32.95</v>
      </c>
      <c r="H69" s="43"/>
      <c r="I69" s="40">
        <f t="shared" si="7"/>
        <v>16</v>
      </c>
      <c r="J69" s="41">
        <f t="shared" si="8"/>
        <v>274.55</v>
      </c>
      <c r="K69" s="41">
        <f t="shared" si="3"/>
        <v>0</v>
      </c>
      <c r="L69" s="42">
        <f t="shared" si="4"/>
        <v>-274.55</v>
      </c>
      <c r="M69" s="5"/>
    </row>
    <row r="70" ht="15.75" customHeight="1">
      <c r="B70" s="4"/>
      <c r="D70" s="40">
        <f t="shared" si="5"/>
        <v>17</v>
      </c>
      <c r="E70" s="41">
        <f t="shared" si="6"/>
        <v>274.55</v>
      </c>
      <c r="F70" s="41">
        <f t="shared" si="1"/>
        <v>307.5</v>
      </c>
      <c r="G70" s="42">
        <f t="shared" si="2"/>
        <v>32.95</v>
      </c>
      <c r="H70" s="43"/>
      <c r="I70" s="40">
        <f t="shared" si="7"/>
        <v>17</v>
      </c>
      <c r="J70" s="41">
        <f t="shared" si="8"/>
        <v>274.55</v>
      </c>
      <c r="K70" s="41">
        <f t="shared" si="3"/>
        <v>0</v>
      </c>
      <c r="L70" s="42">
        <f t="shared" si="4"/>
        <v>-274.55</v>
      </c>
      <c r="M70" s="5"/>
    </row>
    <row r="71" ht="15.75" customHeight="1">
      <c r="B71" s="4"/>
      <c r="D71" s="40">
        <f t="shared" si="5"/>
        <v>18</v>
      </c>
      <c r="E71" s="41">
        <f t="shared" si="6"/>
        <v>274.55</v>
      </c>
      <c r="F71" s="41">
        <f t="shared" si="1"/>
        <v>307.5</v>
      </c>
      <c r="G71" s="42">
        <f t="shared" si="2"/>
        <v>32.95</v>
      </c>
      <c r="H71" s="43"/>
      <c r="I71" s="40">
        <f t="shared" si="7"/>
        <v>18</v>
      </c>
      <c r="J71" s="41">
        <f t="shared" si="8"/>
        <v>274.55</v>
      </c>
      <c r="K71" s="41">
        <f t="shared" si="3"/>
        <v>0</v>
      </c>
      <c r="L71" s="42">
        <f t="shared" si="4"/>
        <v>-274.55</v>
      </c>
      <c r="M71" s="5"/>
    </row>
    <row r="72" ht="15.75" customHeight="1">
      <c r="B72" s="4"/>
      <c r="D72" s="40">
        <f t="shared" si="5"/>
        <v>19</v>
      </c>
      <c r="E72" s="41">
        <f t="shared" si="6"/>
        <v>274.55</v>
      </c>
      <c r="F72" s="41">
        <f t="shared" si="1"/>
        <v>307.5</v>
      </c>
      <c r="G72" s="42">
        <f t="shared" si="2"/>
        <v>32.95</v>
      </c>
      <c r="H72" s="43"/>
      <c r="I72" s="40">
        <f t="shared" si="7"/>
        <v>19</v>
      </c>
      <c r="J72" s="41">
        <f t="shared" si="8"/>
        <v>274.55</v>
      </c>
      <c r="K72" s="41">
        <f t="shared" si="3"/>
        <v>0</v>
      </c>
      <c r="L72" s="42">
        <f t="shared" si="4"/>
        <v>-274.55</v>
      </c>
      <c r="M72" s="5"/>
    </row>
    <row r="73" ht="15.75" customHeight="1">
      <c r="B73" s="4"/>
      <c r="D73" s="40">
        <f t="shared" si="5"/>
        <v>20</v>
      </c>
      <c r="E73" s="41">
        <f t="shared" si="6"/>
        <v>274.55</v>
      </c>
      <c r="F73" s="41">
        <f t="shared" si="1"/>
        <v>307.5</v>
      </c>
      <c r="G73" s="42">
        <f t="shared" si="2"/>
        <v>32.95</v>
      </c>
      <c r="H73" s="43"/>
      <c r="I73" s="40">
        <f t="shared" si="7"/>
        <v>20</v>
      </c>
      <c r="J73" s="41">
        <f t="shared" si="8"/>
        <v>274.55</v>
      </c>
      <c r="K73" s="41">
        <f t="shared" si="3"/>
        <v>0</v>
      </c>
      <c r="L73" s="42">
        <f t="shared" si="4"/>
        <v>-274.55</v>
      </c>
      <c r="M73" s="5"/>
    </row>
    <row r="74" ht="15.75" customHeight="1">
      <c r="B74" s="4"/>
      <c r="D74" s="40">
        <f t="shared" si="5"/>
        <v>21</v>
      </c>
      <c r="E74" s="41">
        <f t="shared" si="6"/>
        <v>274.55</v>
      </c>
      <c r="F74" s="41">
        <f t="shared" si="1"/>
        <v>307.5</v>
      </c>
      <c r="G74" s="42">
        <f t="shared" si="2"/>
        <v>32.95</v>
      </c>
      <c r="H74" s="43"/>
      <c r="I74" s="40">
        <f t="shared" si="7"/>
        <v>21</v>
      </c>
      <c r="J74" s="41">
        <f t="shared" si="8"/>
        <v>274.55</v>
      </c>
      <c r="K74" s="41">
        <f t="shared" si="3"/>
        <v>0</v>
      </c>
      <c r="L74" s="42">
        <f t="shared" si="4"/>
        <v>-274.55</v>
      </c>
      <c r="M74" s="5"/>
    </row>
    <row r="75" ht="15.75" customHeight="1">
      <c r="B75" s="4"/>
      <c r="D75" s="40">
        <f t="shared" si="5"/>
        <v>22</v>
      </c>
      <c r="E75" s="41">
        <f t="shared" si="6"/>
        <v>274.55</v>
      </c>
      <c r="F75" s="41">
        <f t="shared" si="1"/>
        <v>307.5</v>
      </c>
      <c r="G75" s="42">
        <f t="shared" si="2"/>
        <v>32.95</v>
      </c>
      <c r="H75" s="43"/>
      <c r="I75" s="40">
        <f t="shared" si="7"/>
        <v>22</v>
      </c>
      <c r="J75" s="41">
        <f t="shared" si="8"/>
        <v>274.55</v>
      </c>
      <c r="K75" s="41">
        <f t="shared" si="3"/>
        <v>0</v>
      </c>
      <c r="L75" s="42">
        <f t="shared" si="4"/>
        <v>-274.55</v>
      </c>
      <c r="M75" s="5"/>
    </row>
    <row r="76" ht="15.75" customHeight="1">
      <c r="B76" s="4"/>
      <c r="D76" s="40">
        <f t="shared" si="5"/>
        <v>23</v>
      </c>
      <c r="E76" s="41">
        <f t="shared" si="6"/>
        <v>274.55</v>
      </c>
      <c r="F76" s="41">
        <f t="shared" si="1"/>
        <v>307.5</v>
      </c>
      <c r="G76" s="42">
        <f t="shared" si="2"/>
        <v>32.95</v>
      </c>
      <c r="H76" s="43"/>
      <c r="I76" s="40">
        <f t="shared" si="7"/>
        <v>23</v>
      </c>
      <c r="J76" s="41">
        <f t="shared" si="8"/>
        <v>274.55</v>
      </c>
      <c r="K76" s="41">
        <f t="shared" si="3"/>
        <v>0</v>
      </c>
      <c r="L76" s="42">
        <f t="shared" si="4"/>
        <v>-274.55</v>
      </c>
      <c r="M76" s="5"/>
    </row>
    <row r="77" ht="15.75" customHeight="1">
      <c r="B77" s="4"/>
      <c r="D77" s="40">
        <f t="shared" si="5"/>
        <v>24</v>
      </c>
      <c r="E77" s="41">
        <f t="shared" si="6"/>
        <v>274.55</v>
      </c>
      <c r="F77" s="41">
        <f t="shared" si="1"/>
        <v>307.5</v>
      </c>
      <c r="G77" s="42">
        <f t="shared" si="2"/>
        <v>32.95</v>
      </c>
      <c r="H77" s="43"/>
      <c r="I77" s="40">
        <f t="shared" si="7"/>
        <v>24</v>
      </c>
      <c r="J77" s="41">
        <f t="shared" si="8"/>
        <v>274.55</v>
      </c>
      <c r="K77" s="41">
        <f t="shared" si="3"/>
        <v>0</v>
      </c>
      <c r="L77" s="42">
        <f t="shared" si="4"/>
        <v>-274.55</v>
      </c>
      <c r="M77" s="5"/>
    </row>
    <row r="78" ht="15.75" customHeight="1">
      <c r="B78" s="4"/>
      <c r="D78" s="40">
        <f t="shared" si="5"/>
        <v>25</v>
      </c>
      <c r="E78" s="41">
        <f t="shared" si="6"/>
        <v>274.55</v>
      </c>
      <c r="F78" s="41">
        <f t="shared" si="1"/>
        <v>307.5</v>
      </c>
      <c r="G78" s="42">
        <f t="shared" si="2"/>
        <v>32.95</v>
      </c>
      <c r="H78" s="43"/>
      <c r="I78" s="40">
        <f t="shared" si="7"/>
        <v>25</v>
      </c>
      <c r="J78" s="41">
        <f t="shared" si="8"/>
        <v>274.55</v>
      </c>
      <c r="K78" s="41">
        <f t="shared" si="3"/>
        <v>0</v>
      </c>
      <c r="L78" s="42">
        <f t="shared" si="4"/>
        <v>-274.55</v>
      </c>
      <c r="M78" s="5"/>
    </row>
    <row r="79" ht="15.75" customHeight="1">
      <c r="B79" s="4"/>
      <c r="D79" s="40">
        <f t="shared" si="5"/>
        <v>26</v>
      </c>
      <c r="E79" s="41">
        <f t="shared" si="6"/>
        <v>274.55</v>
      </c>
      <c r="F79" s="41">
        <f t="shared" si="1"/>
        <v>307.5</v>
      </c>
      <c r="G79" s="42">
        <f t="shared" si="2"/>
        <v>32.95</v>
      </c>
      <c r="H79" s="43"/>
      <c r="I79" s="40">
        <f t="shared" si="7"/>
        <v>26</v>
      </c>
      <c r="J79" s="41">
        <f t="shared" si="8"/>
        <v>274.55</v>
      </c>
      <c r="K79" s="41">
        <f t="shared" si="3"/>
        <v>0</v>
      </c>
      <c r="L79" s="42">
        <f t="shared" si="4"/>
        <v>-274.55</v>
      </c>
      <c r="M79" s="5"/>
    </row>
    <row r="80" ht="15.75" customHeight="1">
      <c r="B80" s="4"/>
      <c r="D80" s="40">
        <f t="shared" si="5"/>
        <v>27</v>
      </c>
      <c r="E80" s="41">
        <f t="shared" si="6"/>
        <v>274.55</v>
      </c>
      <c r="F80" s="41">
        <f t="shared" si="1"/>
        <v>307.5</v>
      </c>
      <c r="G80" s="42">
        <f t="shared" si="2"/>
        <v>32.95</v>
      </c>
      <c r="H80" s="43"/>
      <c r="I80" s="40">
        <f t="shared" si="7"/>
        <v>27</v>
      </c>
      <c r="J80" s="41">
        <f t="shared" si="8"/>
        <v>274.55</v>
      </c>
      <c r="K80" s="41">
        <f t="shared" si="3"/>
        <v>0</v>
      </c>
      <c r="L80" s="42">
        <f t="shared" si="4"/>
        <v>-274.55</v>
      </c>
      <c r="M80" s="5"/>
    </row>
    <row r="81" ht="15.75" customHeight="1">
      <c r="B81" s="4"/>
      <c r="D81" s="40">
        <f t="shared" si="5"/>
        <v>28</v>
      </c>
      <c r="E81" s="41">
        <f t="shared" si="6"/>
        <v>274.55</v>
      </c>
      <c r="F81" s="41">
        <f t="shared" si="1"/>
        <v>307.5</v>
      </c>
      <c r="G81" s="42">
        <f t="shared" si="2"/>
        <v>32.95</v>
      </c>
      <c r="H81" s="43"/>
      <c r="I81" s="40">
        <f t="shared" si="7"/>
        <v>28</v>
      </c>
      <c r="J81" s="41">
        <f t="shared" si="8"/>
        <v>274.55</v>
      </c>
      <c r="K81" s="41">
        <f t="shared" si="3"/>
        <v>0</v>
      </c>
      <c r="L81" s="42">
        <f t="shared" si="4"/>
        <v>-274.55</v>
      </c>
      <c r="M81" s="5"/>
    </row>
    <row r="82" ht="15.75" customHeight="1">
      <c r="B82" s="4"/>
      <c r="D82" s="40">
        <f t="shared" si="5"/>
        <v>29</v>
      </c>
      <c r="E82" s="41">
        <f t="shared" si="6"/>
        <v>274.55</v>
      </c>
      <c r="F82" s="41">
        <f t="shared" si="1"/>
        <v>307.5</v>
      </c>
      <c r="G82" s="42">
        <f t="shared" si="2"/>
        <v>32.95</v>
      </c>
      <c r="H82" s="43"/>
      <c r="I82" s="40">
        <f t="shared" si="7"/>
        <v>29</v>
      </c>
      <c r="J82" s="41">
        <f t="shared" si="8"/>
        <v>274.55</v>
      </c>
      <c r="K82" s="41">
        <f t="shared" si="3"/>
        <v>0</v>
      </c>
      <c r="L82" s="42">
        <f t="shared" si="4"/>
        <v>-274.55</v>
      </c>
      <c r="M82" s="5"/>
    </row>
    <row r="83" ht="15.75" customHeight="1">
      <c r="B83" s="4"/>
      <c r="D83" s="40">
        <f t="shared" si="5"/>
        <v>30</v>
      </c>
      <c r="E83" s="41">
        <f t="shared" si="6"/>
        <v>274.55</v>
      </c>
      <c r="F83" s="41">
        <f t="shared" si="1"/>
        <v>307.5</v>
      </c>
      <c r="G83" s="42">
        <f t="shared" si="2"/>
        <v>32.95</v>
      </c>
      <c r="H83" s="43"/>
      <c r="I83" s="40">
        <f t="shared" si="7"/>
        <v>30</v>
      </c>
      <c r="J83" s="41">
        <f t="shared" si="8"/>
        <v>274.55</v>
      </c>
      <c r="K83" s="41">
        <f t="shared" si="3"/>
        <v>0</v>
      </c>
      <c r="L83" s="42">
        <f t="shared" si="4"/>
        <v>-274.55</v>
      </c>
      <c r="M83" s="5"/>
    </row>
    <row r="84" ht="15.75" customHeight="1">
      <c r="B84" s="4"/>
      <c r="D84" s="40">
        <f t="shared" si="5"/>
        <v>31</v>
      </c>
      <c r="E84" s="41">
        <f t="shared" si="6"/>
        <v>274.55</v>
      </c>
      <c r="F84" s="41">
        <f t="shared" si="1"/>
        <v>307.5</v>
      </c>
      <c r="G84" s="42">
        <f t="shared" si="2"/>
        <v>32.95</v>
      </c>
      <c r="H84" s="43"/>
      <c r="I84" s="40">
        <f t="shared" si="7"/>
        <v>31</v>
      </c>
      <c r="J84" s="41">
        <f t="shared" si="8"/>
        <v>274.55</v>
      </c>
      <c r="K84" s="41">
        <f t="shared" si="3"/>
        <v>0</v>
      </c>
      <c r="L84" s="42">
        <f t="shared" si="4"/>
        <v>-274.55</v>
      </c>
      <c r="M84" s="5"/>
    </row>
    <row r="85" ht="15.75" customHeight="1">
      <c r="B85" s="4"/>
      <c r="D85" s="40">
        <f t="shared" si="5"/>
        <v>32</v>
      </c>
      <c r="E85" s="41">
        <f t="shared" si="6"/>
        <v>274.55</v>
      </c>
      <c r="F85" s="41">
        <f t="shared" si="1"/>
        <v>307.5</v>
      </c>
      <c r="G85" s="42">
        <f t="shared" si="2"/>
        <v>32.95</v>
      </c>
      <c r="H85" s="43"/>
      <c r="I85" s="40">
        <f t="shared" si="7"/>
        <v>32</v>
      </c>
      <c r="J85" s="41">
        <f t="shared" si="8"/>
        <v>274.55</v>
      </c>
      <c r="K85" s="41">
        <f t="shared" si="3"/>
        <v>0</v>
      </c>
      <c r="L85" s="42">
        <f t="shared" si="4"/>
        <v>-274.55</v>
      </c>
      <c r="M85" s="5"/>
    </row>
    <row r="86" ht="15.75" customHeight="1">
      <c r="B86" s="4"/>
      <c r="D86" s="40">
        <f t="shared" si="5"/>
        <v>33</v>
      </c>
      <c r="E86" s="41">
        <f t="shared" si="6"/>
        <v>274.55</v>
      </c>
      <c r="F86" s="41">
        <f t="shared" si="1"/>
        <v>307.5</v>
      </c>
      <c r="G86" s="42">
        <f t="shared" si="2"/>
        <v>32.95</v>
      </c>
      <c r="H86" s="43"/>
      <c r="I86" s="40">
        <f t="shared" si="7"/>
        <v>33</v>
      </c>
      <c r="J86" s="41">
        <f t="shared" si="8"/>
        <v>274.55</v>
      </c>
      <c r="K86" s="41">
        <f t="shared" si="3"/>
        <v>0</v>
      </c>
      <c r="L86" s="42">
        <f t="shared" si="4"/>
        <v>-274.55</v>
      </c>
      <c r="M86" s="5"/>
    </row>
    <row r="87" ht="15.75" customHeight="1">
      <c r="B87" s="4"/>
      <c r="D87" s="40">
        <f t="shared" si="5"/>
        <v>34</v>
      </c>
      <c r="E87" s="41">
        <f t="shared" si="6"/>
        <v>274.55</v>
      </c>
      <c r="F87" s="41">
        <f t="shared" si="1"/>
        <v>307.5</v>
      </c>
      <c r="G87" s="42">
        <f t="shared" si="2"/>
        <v>32.95</v>
      </c>
      <c r="H87" s="43"/>
      <c r="I87" s="40">
        <f t="shared" si="7"/>
        <v>34</v>
      </c>
      <c r="J87" s="41">
        <f t="shared" si="8"/>
        <v>274.55</v>
      </c>
      <c r="K87" s="41">
        <f t="shared" si="3"/>
        <v>0</v>
      </c>
      <c r="L87" s="42">
        <f t="shared" si="4"/>
        <v>-274.55</v>
      </c>
      <c r="M87" s="5"/>
    </row>
    <row r="88" ht="15.75" customHeight="1">
      <c r="B88" s="4"/>
      <c r="D88" s="40">
        <f t="shared" si="5"/>
        <v>35</v>
      </c>
      <c r="E88" s="41">
        <f t="shared" si="6"/>
        <v>274.55</v>
      </c>
      <c r="F88" s="41">
        <f t="shared" si="1"/>
        <v>307.5</v>
      </c>
      <c r="G88" s="42">
        <f t="shared" si="2"/>
        <v>32.95</v>
      </c>
      <c r="H88" s="43"/>
      <c r="I88" s="40">
        <f t="shared" si="7"/>
        <v>35</v>
      </c>
      <c r="J88" s="41">
        <f t="shared" si="8"/>
        <v>274.55</v>
      </c>
      <c r="K88" s="41">
        <f t="shared" si="3"/>
        <v>0</v>
      </c>
      <c r="L88" s="42">
        <f t="shared" si="4"/>
        <v>-274.55</v>
      </c>
      <c r="M88" s="5"/>
    </row>
    <row r="89" ht="15.75" customHeight="1">
      <c r="B89" s="4"/>
      <c r="D89" s="40">
        <f t="shared" si="5"/>
        <v>36</v>
      </c>
      <c r="E89" s="41">
        <f t="shared" si="6"/>
        <v>274.55</v>
      </c>
      <c r="F89" s="41">
        <f t="shared" si="1"/>
        <v>307.5</v>
      </c>
      <c r="G89" s="42">
        <f t="shared" si="2"/>
        <v>32.95</v>
      </c>
      <c r="H89" s="43"/>
      <c r="I89" s="40">
        <f t="shared" si="7"/>
        <v>36</v>
      </c>
      <c r="J89" s="41">
        <f t="shared" si="8"/>
        <v>274.55</v>
      </c>
      <c r="K89" s="41">
        <f t="shared" si="3"/>
        <v>0</v>
      </c>
      <c r="L89" s="42">
        <f t="shared" si="4"/>
        <v>-274.55</v>
      </c>
      <c r="M89" s="5"/>
    </row>
    <row r="90" ht="15.75" customHeight="1">
      <c r="B90" s="4"/>
      <c r="D90" s="40">
        <f t="shared" si="5"/>
        <v>37</v>
      </c>
      <c r="E90" s="41">
        <f t="shared" si="6"/>
        <v>274.55</v>
      </c>
      <c r="F90" s="41">
        <f t="shared" si="1"/>
        <v>307.5</v>
      </c>
      <c r="G90" s="42">
        <f t="shared" si="2"/>
        <v>32.95</v>
      </c>
      <c r="H90" s="43"/>
      <c r="I90" s="40">
        <f t="shared" si="7"/>
        <v>37</v>
      </c>
      <c r="J90" s="41">
        <f t="shared" si="8"/>
        <v>274.55</v>
      </c>
      <c r="K90" s="41">
        <f t="shared" si="3"/>
        <v>0</v>
      </c>
      <c r="L90" s="42">
        <f t="shared" si="4"/>
        <v>-274.55</v>
      </c>
      <c r="M90" s="5"/>
    </row>
    <row r="91" ht="15.75" customHeight="1">
      <c r="B91" s="4"/>
      <c r="D91" s="40">
        <f t="shared" si="5"/>
        <v>38</v>
      </c>
      <c r="E91" s="41">
        <f t="shared" si="6"/>
        <v>274.55</v>
      </c>
      <c r="F91" s="41">
        <f t="shared" si="1"/>
        <v>307.5</v>
      </c>
      <c r="G91" s="42">
        <f t="shared" si="2"/>
        <v>32.95</v>
      </c>
      <c r="H91" s="43"/>
      <c r="I91" s="40">
        <f t="shared" si="7"/>
        <v>38</v>
      </c>
      <c r="J91" s="41">
        <f t="shared" si="8"/>
        <v>274.55</v>
      </c>
      <c r="K91" s="41">
        <f t="shared" si="3"/>
        <v>0</v>
      </c>
      <c r="L91" s="42">
        <f t="shared" si="4"/>
        <v>-274.55</v>
      </c>
      <c r="M91" s="5"/>
    </row>
    <row r="92" ht="15.75" customHeight="1">
      <c r="B92" s="4"/>
      <c r="D92" s="40">
        <f t="shared" si="5"/>
        <v>39</v>
      </c>
      <c r="E92" s="41">
        <f t="shared" si="6"/>
        <v>274.55</v>
      </c>
      <c r="F92" s="41">
        <f t="shared" si="1"/>
        <v>307.5</v>
      </c>
      <c r="G92" s="42">
        <f t="shared" si="2"/>
        <v>32.95</v>
      </c>
      <c r="H92" s="43"/>
      <c r="I92" s="40">
        <f t="shared" si="7"/>
        <v>39</v>
      </c>
      <c r="J92" s="41">
        <f t="shared" si="8"/>
        <v>274.55</v>
      </c>
      <c r="K92" s="41">
        <f t="shared" si="3"/>
        <v>0</v>
      </c>
      <c r="L92" s="42">
        <f t="shared" si="4"/>
        <v>-274.55</v>
      </c>
      <c r="M92" s="5"/>
    </row>
    <row r="93" ht="15.75" customHeight="1">
      <c r="B93" s="4"/>
      <c r="D93" s="40">
        <f t="shared" si="5"/>
        <v>40</v>
      </c>
      <c r="E93" s="41">
        <f t="shared" si="6"/>
        <v>274.55</v>
      </c>
      <c r="F93" s="41">
        <f t="shared" si="1"/>
        <v>307.5</v>
      </c>
      <c r="G93" s="42">
        <f t="shared" si="2"/>
        <v>32.95</v>
      </c>
      <c r="H93" s="43"/>
      <c r="I93" s="40">
        <f t="shared" si="7"/>
        <v>40</v>
      </c>
      <c r="J93" s="41">
        <f t="shared" si="8"/>
        <v>274.55</v>
      </c>
      <c r="K93" s="41">
        <f t="shared" si="3"/>
        <v>0</v>
      </c>
      <c r="L93" s="42">
        <f t="shared" si="4"/>
        <v>-274.55</v>
      </c>
      <c r="M93" s="5"/>
    </row>
    <row r="94" ht="15.75" customHeight="1">
      <c r="B94" s="4"/>
      <c r="D94" s="40">
        <f t="shared" si="5"/>
        <v>41</v>
      </c>
      <c r="E94" s="41">
        <f t="shared" si="6"/>
        <v>274.55</v>
      </c>
      <c r="F94" s="41">
        <f t="shared" si="1"/>
        <v>307.5</v>
      </c>
      <c r="G94" s="42">
        <f t="shared" si="2"/>
        <v>32.95</v>
      </c>
      <c r="H94" s="43"/>
      <c r="I94" s="40">
        <f t="shared" si="7"/>
        <v>41</v>
      </c>
      <c r="J94" s="41">
        <f t="shared" si="8"/>
        <v>274.55</v>
      </c>
      <c r="K94" s="41">
        <f t="shared" si="3"/>
        <v>0</v>
      </c>
      <c r="L94" s="42">
        <f t="shared" si="4"/>
        <v>-274.55</v>
      </c>
      <c r="M94" s="5"/>
    </row>
    <row r="95" ht="15.75" customHeight="1">
      <c r="B95" s="4"/>
      <c r="D95" s="40">
        <f t="shared" si="5"/>
        <v>42</v>
      </c>
      <c r="E95" s="41">
        <f t="shared" si="6"/>
        <v>274.55</v>
      </c>
      <c r="F95" s="41">
        <f t="shared" si="1"/>
        <v>307.5</v>
      </c>
      <c r="G95" s="42">
        <f t="shared" si="2"/>
        <v>32.95</v>
      </c>
      <c r="H95" s="43"/>
      <c r="I95" s="40">
        <f t="shared" si="7"/>
        <v>42</v>
      </c>
      <c r="J95" s="41">
        <f t="shared" si="8"/>
        <v>274.55</v>
      </c>
      <c r="K95" s="41">
        <f t="shared" si="3"/>
        <v>0</v>
      </c>
      <c r="L95" s="42">
        <f t="shared" si="4"/>
        <v>-274.55</v>
      </c>
      <c r="M95" s="5"/>
    </row>
    <row r="96" ht="15.75" customHeight="1">
      <c r="B96" s="4"/>
      <c r="D96" s="40">
        <f t="shared" si="5"/>
        <v>43</v>
      </c>
      <c r="E96" s="41">
        <f t="shared" si="6"/>
        <v>274.55</v>
      </c>
      <c r="F96" s="41">
        <f t="shared" si="1"/>
        <v>307.5</v>
      </c>
      <c r="G96" s="42">
        <f t="shared" si="2"/>
        <v>32.95</v>
      </c>
      <c r="H96" s="43"/>
      <c r="I96" s="40">
        <f t="shared" si="7"/>
        <v>43</v>
      </c>
      <c r="J96" s="41">
        <f t="shared" si="8"/>
        <v>274.55</v>
      </c>
      <c r="K96" s="41">
        <f t="shared" si="3"/>
        <v>0</v>
      </c>
      <c r="L96" s="42">
        <f t="shared" si="4"/>
        <v>-274.55</v>
      </c>
      <c r="M96" s="5"/>
    </row>
    <row r="97" ht="15.75" customHeight="1">
      <c r="B97" s="4"/>
      <c r="D97" s="40">
        <f t="shared" si="5"/>
        <v>44</v>
      </c>
      <c r="E97" s="41">
        <f t="shared" si="6"/>
        <v>274.55</v>
      </c>
      <c r="F97" s="41">
        <f t="shared" si="1"/>
        <v>307.5</v>
      </c>
      <c r="G97" s="42">
        <f t="shared" si="2"/>
        <v>32.95</v>
      </c>
      <c r="H97" s="43"/>
      <c r="I97" s="40">
        <f t="shared" si="7"/>
        <v>44</v>
      </c>
      <c r="J97" s="41">
        <f t="shared" si="8"/>
        <v>274.55</v>
      </c>
      <c r="K97" s="41">
        <f t="shared" si="3"/>
        <v>0</v>
      </c>
      <c r="L97" s="42">
        <f t="shared" si="4"/>
        <v>-274.55</v>
      </c>
      <c r="M97" s="5"/>
    </row>
    <row r="98" ht="15.75" customHeight="1">
      <c r="B98" s="4"/>
      <c r="D98" s="40">
        <f t="shared" si="5"/>
        <v>45</v>
      </c>
      <c r="E98" s="41">
        <f t="shared" si="6"/>
        <v>274.55</v>
      </c>
      <c r="F98" s="41">
        <f t="shared" si="1"/>
        <v>307.5</v>
      </c>
      <c r="G98" s="42">
        <f t="shared" si="2"/>
        <v>32.95</v>
      </c>
      <c r="H98" s="43"/>
      <c r="I98" s="40">
        <f t="shared" si="7"/>
        <v>45</v>
      </c>
      <c r="J98" s="41">
        <f t="shared" si="8"/>
        <v>274.55</v>
      </c>
      <c r="K98" s="41">
        <f t="shared" si="3"/>
        <v>0</v>
      </c>
      <c r="L98" s="42">
        <f t="shared" si="4"/>
        <v>-274.55</v>
      </c>
      <c r="M98" s="5"/>
    </row>
    <row r="99" ht="15.75" customHeight="1">
      <c r="B99" s="4"/>
      <c r="D99" s="40">
        <f t="shared" si="5"/>
        <v>46</v>
      </c>
      <c r="E99" s="41">
        <f t="shared" si="6"/>
        <v>274.55</v>
      </c>
      <c r="F99" s="41">
        <f t="shared" si="1"/>
        <v>307.5</v>
      </c>
      <c r="G99" s="42">
        <f t="shared" si="2"/>
        <v>32.95</v>
      </c>
      <c r="H99" s="43"/>
      <c r="I99" s="40">
        <f t="shared" si="7"/>
        <v>46</v>
      </c>
      <c r="J99" s="41">
        <f t="shared" si="8"/>
        <v>274.55</v>
      </c>
      <c r="K99" s="41">
        <f t="shared" si="3"/>
        <v>0</v>
      </c>
      <c r="L99" s="42">
        <f t="shared" si="4"/>
        <v>-274.55</v>
      </c>
      <c r="M99" s="5"/>
    </row>
    <row r="100" ht="15.75" customHeight="1">
      <c r="B100" s="4"/>
      <c r="D100" s="40">
        <f t="shared" si="5"/>
        <v>47</v>
      </c>
      <c r="E100" s="41">
        <f t="shared" si="6"/>
        <v>274.55</v>
      </c>
      <c r="F100" s="41">
        <f t="shared" si="1"/>
        <v>307.5</v>
      </c>
      <c r="G100" s="42">
        <f t="shared" si="2"/>
        <v>32.95</v>
      </c>
      <c r="H100" s="43"/>
      <c r="I100" s="40">
        <f t="shared" si="7"/>
        <v>47</v>
      </c>
      <c r="J100" s="41">
        <f t="shared" si="8"/>
        <v>274.55</v>
      </c>
      <c r="K100" s="41">
        <f t="shared" si="3"/>
        <v>0</v>
      </c>
      <c r="L100" s="42">
        <f t="shared" si="4"/>
        <v>-274.55</v>
      </c>
      <c r="M100" s="5"/>
    </row>
    <row r="101" ht="15.75" customHeight="1">
      <c r="B101" s="4"/>
      <c r="D101" s="40">
        <f t="shared" si="5"/>
        <v>48</v>
      </c>
      <c r="E101" s="41">
        <f t="shared" si="6"/>
        <v>1013.91</v>
      </c>
      <c r="F101" s="41">
        <f t="shared" si="1"/>
        <v>13452.5</v>
      </c>
      <c r="G101" s="42">
        <f t="shared" si="2"/>
        <v>12438.59</v>
      </c>
      <c r="H101" s="43"/>
      <c r="I101" s="40">
        <f t="shared" si="7"/>
        <v>48</v>
      </c>
      <c r="J101" s="41">
        <f t="shared" si="8"/>
        <v>1013.91</v>
      </c>
      <c r="K101" s="41">
        <f t="shared" si="3"/>
        <v>0</v>
      </c>
      <c r="L101" s="42">
        <f t="shared" si="4"/>
        <v>-1013.91</v>
      </c>
      <c r="M101" s="5"/>
    </row>
    <row r="102" ht="15.75" customHeight="1">
      <c r="B102" s="4"/>
      <c r="D102" s="40" t="str">
        <f t="shared" si="5"/>
        <v>Fin du financement</v>
      </c>
      <c r="E102" s="41">
        <f t="shared" ref="E102:E151" si="9">IF(D102&lt;=$F$6,$F$8,0)+IF(D102=$F$6,$F$9,0)</f>
        <v>0</v>
      </c>
      <c r="F102" s="41">
        <f t="shared" si="1"/>
        <v>0</v>
      </c>
      <c r="G102" s="42">
        <f t="shared" si="2"/>
        <v>0</v>
      </c>
      <c r="H102" s="43"/>
      <c r="I102" s="40" t="str">
        <f t="shared" si="7"/>
        <v>Fin du financement</v>
      </c>
      <c r="J102" s="41">
        <f t="shared" ref="J102:J151" si="10">IF(I102&lt;=$F$6,$F$8,0)+IF(I102=$F$6,$F$9,0)</f>
        <v>0</v>
      </c>
      <c r="K102" s="41">
        <f t="shared" si="3"/>
        <v>0</v>
      </c>
      <c r="L102" s="42">
        <f t="shared" si="4"/>
        <v>0</v>
      </c>
      <c r="M102" s="5"/>
    </row>
    <row r="103" ht="15.75" customHeight="1">
      <c r="B103" s="4"/>
      <c r="D103" s="40" t="str">
        <f t="shared" si="5"/>
        <v>Fin du financement</v>
      </c>
      <c r="E103" s="41">
        <f t="shared" si="9"/>
        <v>0</v>
      </c>
      <c r="F103" s="41">
        <f t="shared" si="1"/>
        <v>0</v>
      </c>
      <c r="G103" s="42">
        <f t="shared" si="2"/>
        <v>0</v>
      </c>
      <c r="H103" s="43"/>
      <c r="I103" s="40" t="str">
        <f t="shared" si="7"/>
        <v>Fin du financement</v>
      </c>
      <c r="J103" s="41">
        <f t="shared" si="10"/>
        <v>0</v>
      </c>
      <c r="K103" s="41">
        <f t="shared" si="3"/>
        <v>0</v>
      </c>
      <c r="L103" s="42">
        <f t="shared" si="4"/>
        <v>0</v>
      </c>
      <c r="M103" s="5"/>
    </row>
    <row r="104" ht="15.75" customHeight="1">
      <c r="B104" s="4"/>
      <c r="D104" s="40" t="str">
        <f t="shared" si="5"/>
        <v>Fin du financement</v>
      </c>
      <c r="E104" s="41">
        <f t="shared" si="9"/>
        <v>0</v>
      </c>
      <c r="F104" s="41">
        <f t="shared" si="1"/>
        <v>0</v>
      </c>
      <c r="G104" s="42">
        <f t="shared" si="2"/>
        <v>0</v>
      </c>
      <c r="H104" s="43"/>
      <c r="I104" s="40" t="str">
        <f t="shared" si="7"/>
        <v>Fin du financement</v>
      </c>
      <c r="J104" s="41">
        <f t="shared" si="10"/>
        <v>0</v>
      </c>
      <c r="K104" s="41">
        <f t="shared" si="3"/>
        <v>0</v>
      </c>
      <c r="L104" s="42">
        <f t="shared" si="4"/>
        <v>0</v>
      </c>
      <c r="M104" s="5"/>
    </row>
    <row r="105" ht="15.75" customHeight="1">
      <c r="B105" s="4"/>
      <c r="D105" s="40" t="str">
        <f t="shared" si="5"/>
        <v>Fin du financement</v>
      </c>
      <c r="E105" s="41">
        <f t="shared" si="9"/>
        <v>0</v>
      </c>
      <c r="F105" s="41">
        <f t="shared" si="1"/>
        <v>0</v>
      </c>
      <c r="G105" s="42">
        <f t="shared" si="2"/>
        <v>0</v>
      </c>
      <c r="H105" s="43"/>
      <c r="I105" s="40" t="str">
        <f t="shared" si="7"/>
        <v>Fin du financement</v>
      </c>
      <c r="J105" s="41">
        <f t="shared" si="10"/>
        <v>0</v>
      </c>
      <c r="K105" s="41">
        <f t="shared" si="3"/>
        <v>0</v>
      </c>
      <c r="L105" s="42">
        <f t="shared" si="4"/>
        <v>0</v>
      </c>
      <c r="M105" s="5"/>
    </row>
    <row r="106" ht="15.75" customHeight="1">
      <c r="B106" s="4"/>
      <c r="D106" s="40" t="str">
        <f t="shared" si="5"/>
        <v>Fin du financement</v>
      </c>
      <c r="E106" s="41">
        <f t="shared" si="9"/>
        <v>0</v>
      </c>
      <c r="F106" s="41">
        <f t="shared" si="1"/>
        <v>0</v>
      </c>
      <c r="G106" s="42">
        <f t="shared" si="2"/>
        <v>0</v>
      </c>
      <c r="H106" s="43"/>
      <c r="I106" s="40" t="str">
        <f t="shared" si="7"/>
        <v>Fin du financement</v>
      </c>
      <c r="J106" s="41">
        <f t="shared" si="10"/>
        <v>0</v>
      </c>
      <c r="K106" s="41">
        <f t="shared" si="3"/>
        <v>0</v>
      </c>
      <c r="L106" s="42">
        <f t="shared" si="4"/>
        <v>0</v>
      </c>
    </row>
    <row r="107" ht="15.75" customHeight="1">
      <c r="B107" s="4"/>
      <c r="D107" s="40" t="str">
        <f t="shared" si="5"/>
        <v>Fin du financement</v>
      </c>
      <c r="E107" s="41">
        <f t="shared" si="9"/>
        <v>0</v>
      </c>
      <c r="F107" s="41">
        <f t="shared" si="1"/>
        <v>0</v>
      </c>
      <c r="G107" s="42">
        <f t="shared" si="2"/>
        <v>0</v>
      </c>
      <c r="H107" s="43"/>
      <c r="I107" s="40" t="str">
        <f t="shared" si="7"/>
        <v>Fin du financement</v>
      </c>
      <c r="J107" s="41">
        <f t="shared" si="10"/>
        <v>0</v>
      </c>
      <c r="K107" s="41">
        <f t="shared" si="3"/>
        <v>0</v>
      </c>
      <c r="L107" s="42">
        <f t="shared" si="4"/>
        <v>0</v>
      </c>
    </row>
    <row r="108" ht="15.75" customHeight="1">
      <c r="B108" s="4"/>
      <c r="D108" s="40" t="str">
        <f t="shared" si="5"/>
        <v>Fin du financement</v>
      </c>
      <c r="E108" s="41">
        <f t="shared" si="9"/>
        <v>0</v>
      </c>
      <c r="F108" s="41">
        <f t="shared" si="1"/>
        <v>0</v>
      </c>
      <c r="G108" s="42">
        <f t="shared" si="2"/>
        <v>0</v>
      </c>
      <c r="H108" s="43"/>
      <c r="I108" s="40" t="str">
        <f t="shared" si="7"/>
        <v>Fin du financement</v>
      </c>
      <c r="J108" s="41">
        <f t="shared" si="10"/>
        <v>0</v>
      </c>
      <c r="K108" s="41">
        <f t="shared" si="3"/>
        <v>0</v>
      </c>
      <c r="L108" s="42">
        <f t="shared" si="4"/>
        <v>0</v>
      </c>
    </row>
    <row r="109" ht="15.75" customHeight="1">
      <c r="B109" s="4"/>
      <c r="D109" s="40" t="str">
        <f t="shared" si="5"/>
        <v>Fin du financement</v>
      </c>
      <c r="E109" s="41">
        <f t="shared" si="9"/>
        <v>0</v>
      </c>
      <c r="F109" s="41">
        <f t="shared" si="1"/>
        <v>0</v>
      </c>
      <c r="G109" s="42">
        <f t="shared" si="2"/>
        <v>0</v>
      </c>
      <c r="H109" s="43"/>
      <c r="I109" s="40" t="str">
        <f t="shared" si="7"/>
        <v>Fin du financement</v>
      </c>
      <c r="J109" s="41">
        <f t="shared" si="10"/>
        <v>0</v>
      </c>
      <c r="K109" s="41">
        <f t="shared" si="3"/>
        <v>0</v>
      </c>
      <c r="L109" s="42">
        <f t="shared" si="4"/>
        <v>0</v>
      </c>
    </row>
    <row r="110" ht="15.75" customHeight="1">
      <c r="B110" s="4"/>
      <c r="D110" s="40" t="str">
        <f t="shared" si="5"/>
        <v>Fin du financement</v>
      </c>
      <c r="E110" s="41">
        <f t="shared" si="9"/>
        <v>0</v>
      </c>
      <c r="F110" s="41">
        <f t="shared" si="1"/>
        <v>0</v>
      </c>
      <c r="G110" s="42">
        <f t="shared" si="2"/>
        <v>0</v>
      </c>
      <c r="H110" s="43"/>
      <c r="I110" s="40" t="str">
        <f t="shared" si="7"/>
        <v>Fin du financement</v>
      </c>
      <c r="J110" s="41">
        <f t="shared" si="10"/>
        <v>0</v>
      </c>
      <c r="K110" s="41">
        <f t="shared" si="3"/>
        <v>0</v>
      </c>
      <c r="L110" s="42">
        <f t="shared" si="4"/>
        <v>0</v>
      </c>
    </row>
    <row r="111" ht="15.75" customHeight="1">
      <c r="B111" s="4"/>
      <c r="D111" s="40" t="str">
        <f t="shared" si="5"/>
        <v>Fin du financement</v>
      </c>
      <c r="E111" s="41">
        <f t="shared" si="9"/>
        <v>0</v>
      </c>
      <c r="F111" s="41">
        <f t="shared" si="1"/>
        <v>0</v>
      </c>
      <c r="G111" s="42">
        <f t="shared" si="2"/>
        <v>0</v>
      </c>
      <c r="H111" s="43"/>
      <c r="I111" s="40" t="str">
        <f t="shared" si="7"/>
        <v>Fin du financement</v>
      </c>
      <c r="J111" s="41">
        <f t="shared" si="10"/>
        <v>0</v>
      </c>
      <c r="K111" s="41">
        <f t="shared" si="3"/>
        <v>0</v>
      </c>
      <c r="L111" s="42">
        <f t="shared" si="4"/>
        <v>0</v>
      </c>
    </row>
    <row r="112" ht="15.75" customHeight="1">
      <c r="B112" s="4"/>
      <c r="D112" s="40" t="str">
        <f t="shared" si="5"/>
        <v>Fin du financement</v>
      </c>
      <c r="E112" s="41">
        <f t="shared" si="9"/>
        <v>0</v>
      </c>
      <c r="F112" s="41">
        <f t="shared" si="1"/>
        <v>0</v>
      </c>
      <c r="G112" s="42">
        <f t="shared" si="2"/>
        <v>0</v>
      </c>
      <c r="H112" s="43"/>
      <c r="I112" s="40" t="str">
        <f t="shared" si="7"/>
        <v>Fin du financement</v>
      </c>
      <c r="J112" s="41">
        <f t="shared" si="10"/>
        <v>0</v>
      </c>
      <c r="K112" s="41">
        <f t="shared" si="3"/>
        <v>0</v>
      </c>
      <c r="L112" s="42">
        <f t="shared" si="4"/>
        <v>0</v>
      </c>
    </row>
    <row r="113" ht="15.75" customHeight="1">
      <c r="B113" s="4"/>
      <c r="D113" s="40" t="str">
        <f t="shared" si="5"/>
        <v>Fin du financement</v>
      </c>
      <c r="E113" s="41">
        <f t="shared" si="9"/>
        <v>0</v>
      </c>
      <c r="F113" s="41">
        <f t="shared" si="1"/>
        <v>0</v>
      </c>
      <c r="G113" s="42">
        <f t="shared" si="2"/>
        <v>0</v>
      </c>
      <c r="H113" s="43"/>
      <c r="I113" s="40" t="str">
        <f t="shared" si="7"/>
        <v>Fin du financement</v>
      </c>
      <c r="J113" s="41">
        <f t="shared" si="10"/>
        <v>0</v>
      </c>
      <c r="K113" s="41">
        <f t="shared" si="3"/>
        <v>0</v>
      </c>
      <c r="L113" s="42">
        <f t="shared" si="4"/>
        <v>0</v>
      </c>
    </row>
    <row r="114" ht="15.75" customHeight="1">
      <c r="B114" s="4"/>
      <c r="D114" s="40" t="str">
        <f t="shared" si="5"/>
        <v>Fin du financement</v>
      </c>
      <c r="E114" s="41">
        <f t="shared" si="9"/>
        <v>0</v>
      </c>
      <c r="F114" s="41">
        <f t="shared" si="1"/>
        <v>0</v>
      </c>
      <c r="G114" s="42">
        <f t="shared" si="2"/>
        <v>0</v>
      </c>
      <c r="H114" s="43"/>
      <c r="I114" s="40" t="str">
        <f t="shared" si="7"/>
        <v>Fin du financement</v>
      </c>
      <c r="J114" s="41">
        <f t="shared" si="10"/>
        <v>0</v>
      </c>
      <c r="K114" s="41">
        <f t="shared" si="3"/>
        <v>0</v>
      </c>
      <c r="L114" s="42">
        <f t="shared" si="4"/>
        <v>0</v>
      </c>
    </row>
    <row r="115" ht="15.75" customHeight="1">
      <c r="B115" s="4"/>
      <c r="D115" s="40" t="str">
        <f t="shared" si="5"/>
        <v>Fin du financement</v>
      </c>
      <c r="E115" s="41">
        <f t="shared" si="9"/>
        <v>0</v>
      </c>
      <c r="F115" s="41">
        <f t="shared" si="1"/>
        <v>0</v>
      </c>
      <c r="G115" s="42">
        <f t="shared" si="2"/>
        <v>0</v>
      </c>
      <c r="H115" s="43"/>
      <c r="I115" s="40" t="str">
        <f t="shared" si="7"/>
        <v>Fin du financement</v>
      </c>
      <c r="J115" s="41">
        <f t="shared" si="10"/>
        <v>0</v>
      </c>
      <c r="K115" s="41">
        <f t="shared" si="3"/>
        <v>0</v>
      </c>
      <c r="L115" s="42">
        <f t="shared" si="4"/>
        <v>0</v>
      </c>
    </row>
    <row r="116" ht="15.75" customHeight="1">
      <c r="B116" s="4"/>
      <c r="D116" s="40" t="str">
        <f t="shared" si="5"/>
        <v>Fin du financement</v>
      </c>
      <c r="E116" s="41">
        <f t="shared" si="9"/>
        <v>0</v>
      </c>
      <c r="F116" s="41">
        <f t="shared" si="1"/>
        <v>0</v>
      </c>
      <c r="G116" s="42">
        <f t="shared" si="2"/>
        <v>0</v>
      </c>
      <c r="H116" s="43"/>
      <c r="I116" s="40" t="str">
        <f t="shared" si="7"/>
        <v>Fin du financement</v>
      </c>
      <c r="J116" s="41">
        <f t="shared" si="10"/>
        <v>0</v>
      </c>
      <c r="K116" s="41">
        <f t="shared" si="3"/>
        <v>0</v>
      </c>
      <c r="L116" s="42">
        <f t="shared" si="4"/>
        <v>0</v>
      </c>
    </row>
    <row r="117" ht="15.75" customHeight="1">
      <c r="B117" s="4"/>
      <c r="D117" s="40" t="str">
        <f t="shared" si="5"/>
        <v>Fin du financement</v>
      </c>
      <c r="E117" s="41">
        <f t="shared" si="9"/>
        <v>0</v>
      </c>
      <c r="F117" s="41">
        <f t="shared" si="1"/>
        <v>0</v>
      </c>
      <c r="G117" s="42">
        <f t="shared" si="2"/>
        <v>0</v>
      </c>
      <c r="H117" s="43"/>
      <c r="I117" s="40" t="str">
        <f t="shared" si="7"/>
        <v>Fin du financement</v>
      </c>
      <c r="J117" s="41">
        <f t="shared" si="10"/>
        <v>0</v>
      </c>
      <c r="K117" s="41">
        <f t="shared" si="3"/>
        <v>0</v>
      </c>
      <c r="L117" s="42">
        <f t="shared" si="4"/>
        <v>0</v>
      </c>
    </row>
    <row r="118" ht="15.75" customHeight="1">
      <c r="B118" s="4"/>
      <c r="D118" s="40" t="str">
        <f t="shared" si="5"/>
        <v>Fin du financement</v>
      </c>
      <c r="E118" s="41">
        <f t="shared" si="9"/>
        <v>0</v>
      </c>
      <c r="F118" s="41">
        <f t="shared" si="1"/>
        <v>0</v>
      </c>
      <c r="G118" s="42">
        <f t="shared" si="2"/>
        <v>0</v>
      </c>
      <c r="H118" s="43"/>
      <c r="I118" s="40" t="str">
        <f t="shared" si="7"/>
        <v>Fin du financement</v>
      </c>
      <c r="J118" s="41">
        <f t="shared" si="10"/>
        <v>0</v>
      </c>
      <c r="K118" s="41">
        <f t="shared" si="3"/>
        <v>0</v>
      </c>
      <c r="L118" s="42">
        <f t="shared" si="4"/>
        <v>0</v>
      </c>
    </row>
    <row r="119" ht="15.75" customHeight="1">
      <c r="B119" s="4"/>
      <c r="D119" s="40" t="str">
        <f t="shared" si="5"/>
        <v>Fin du financement</v>
      </c>
      <c r="E119" s="41">
        <f t="shared" si="9"/>
        <v>0</v>
      </c>
      <c r="F119" s="41">
        <f t="shared" si="1"/>
        <v>0</v>
      </c>
      <c r="G119" s="42">
        <f t="shared" si="2"/>
        <v>0</v>
      </c>
      <c r="H119" s="43"/>
      <c r="I119" s="40" t="str">
        <f t="shared" si="7"/>
        <v>Fin du financement</v>
      </c>
      <c r="J119" s="41">
        <f t="shared" si="10"/>
        <v>0</v>
      </c>
      <c r="K119" s="41">
        <f t="shared" si="3"/>
        <v>0</v>
      </c>
      <c r="L119" s="42">
        <f t="shared" si="4"/>
        <v>0</v>
      </c>
    </row>
    <row r="120" ht="15.75" customHeight="1">
      <c r="B120" s="4"/>
      <c r="D120" s="40" t="str">
        <f t="shared" si="5"/>
        <v>Fin du financement</v>
      </c>
      <c r="E120" s="41">
        <f t="shared" si="9"/>
        <v>0</v>
      </c>
      <c r="F120" s="41">
        <f t="shared" si="1"/>
        <v>0</v>
      </c>
      <c r="G120" s="42">
        <f t="shared" si="2"/>
        <v>0</v>
      </c>
      <c r="H120" s="43"/>
      <c r="I120" s="40" t="str">
        <f t="shared" si="7"/>
        <v>Fin du financement</v>
      </c>
      <c r="J120" s="41">
        <f t="shared" si="10"/>
        <v>0</v>
      </c>
      <c r="K120" s="41">
        <f t="shared" si="3"/>
        <v>0</v>
      </c>
      <c r="L120" s="42">
        <f t="shared" si="4"/>
        <v>0</v>
      </c>
    </row>
    <row r="121" ht="15.75" customHeight="1">
      <c r="B121" s="4"/>
      <c r="D121" s="40" t="str">
        <f t="shared" si="5"/>
        <v>Fin du financement</v>
      </c>
      <c r="E121" s="41">
        <f t="shared" si="9"/>
        <v>0</v>
      </c>
      <c r="F121" s="41">
        <f t="shared" si="1"/>
        <v>0</v>
      </c>
      <c r="G121" s="42">
        <f t="shared" si="2"/>
        <v>0</v>
      </c>
      <c r="H121" s="43"/>
      <c r="I121" s="40" t="str">
        <f t="shared" si="7"/>
        <v>Fin du financement</v>
      </c>
      <c r="J121" s="41">
        <f t="shared" si="10"/>
        <v>0</v>
      </c>
      <c r="K121" s="41">
        <f t="shared" si="3"/>
        <v>0</v>
      </c>
      <c r="L121" s="42">
        <f t="shared" si="4"/>
        <v>0</v>
      </c>
    </row>
    <row r="122" ht="15.75" customHeight="1">
      <c r="B122" s="4"/>
      <c r="D122" s="40" t="str">
        <f t="shared" si="5"/>
        <v>Fin du financement</v>
      </c>
      <c r="E122" s="41">
        <f t="shared" si="9"/>
        <v>0</v>
      </c>
      <c r="F122" s="41">
        <f t="shared" si="1"/>
        <v>0</v>
      </c>
      <c r="G122" s="42">
        <f t="shared" si="2"/>
        <v>0</v>
      </c>
      <c r="H122" s="43"/>
      <c r="I122" s="40" t="str">
        <f t="shared" si="7"/>
        <v>Fin du financement</v>
      </c>
      <c r="J122" s="41">
        <f t="shared" si="10"/>
        <v>0</v>
      </c>
      <c r="K122" s="41">
        <f t="shared" si="3"/>
        <v>0</v>
      </c>
      <c r="L122" s="42">
        <f t="shared" si="4"/>
        <v>0</v>
      </c>
    </row>
    <row r="123" ht="15.75" customHeight="1">
      <c r="B123" s="4"/>
      <c r="D123" s="40" t="str">
        <f t="shared" si="5"/>
        <v>Fin du financement</v>
      </c>
      <c r="E123" s="41">
        <f t="shared" si="9"/>
        <v>0</v>
      </c>
      <c r="F123" s="41">
        <f t="shared" si="1"/>
        <v>0</v>
      </c>
      <c r="G123" s="42">
        <f t="shared" si="2"/>
        <v>0</v>
      </c>
      <c r="H123" s="43"/>
      <c r="I123" s="40" t="str">
        <f t="shared" si="7"/>
        <v>Fin du financement</v>
      </c>
      <c r="J123" s="41">
        <f t="shared" si="10"/>
        <v>0</v>
      </c>
      <c r="K123" s="41">
        <f t="shared" si="3"/>
        <v>0</v>
      </c>
      <c r="L123" s="42">
        <f t="shared" si="4"/>
        <v>0</v>
      </c>
    </row>
    <row r="124" ht="15.75" customHeight="1">
      <c r="B124" s="4"/>
      <c r="D124" s="40" t="str">
        <f t="shared" si="5"/>
        <v>Fin du financement</v>
      </c>
      <c r="E124" s="41">
        <f t="shared" si="9"/>
        <v>0</v>
      </c>
      <c r="F124" s="41">
        <f t="shared" si="1"/>
        <v>0</v>
      </c>
      <c r="G124" s="42">
        <f t="shared" si="2"/>
        <v>0</v>
      </c>
      <c r="H124" s="43"/>
      <c r="I124" s="40" t="str">
        <f t="shared" si="7"/>
        <v>Fin du financement</v>
      </c>
      <c r="J124" s="41">
        <f t="shared" si="10"/>
        <v>0</v>
      </c>
      <c r="K124" s="41">
        <f t="shared" si="3"/>
        <v>0</v>
      </c>
      <c r="L124" s="42">
        <f t="shared" si="4"/>
        <v>0</v>
      </c>
    </row>
    <row r="125" ht="15.75" customHeight="1">
      <c r="B125" s="4"/>
      <c r="D125" s="40" t="str">
        <f t="shared" si="5"/>
        <v>Fin du financement</v>
      </c>
      <c r="E125" s="41">
        <f t="shared" si="9"/>
        <v>0</v>
      </c>
      <c r="F125" s="41">
        <f t="shared" si="1"/>
        <v>0</v>
      </c>
      <c r="G125" s="42">
        <f t="shared" si="2"/>
        <v>0</v>
      </c>
      <c r="H125" s="43"/>
      <c r="I125" s="40" t="str">
        <f t="shared" si="7"/>
        <v>Fin du financement</v>
      </c>
      <c r="J125" s="41">
        <f t="shared" si="10"/>
        <v>0</v>
      </c>
      <c r="K125" s="41">
        <f t="shared" si="3"/>
        <v>0</v>
      </c>
      <c r="L125" s="42">
        <f t="shared" si="4"/>
        <v>0</v>
      </c>
    </row>
    <row r="126" ht="15.75" customHeight="1">
      <c r="B126" s="4"/>
      <c r="D126" s="40" t="str">
        <f t="shared" si="5"/>
        <v>Fin du financement</v>
      </c>
      <c r="E126" s="41">
        <f t="shared" si="9"/>
        <v>0</v>
      </c>
      <c r="F126" s="41">
        <f t="shared" si="1"/>
        <v>0</v>
      </c>
      <c r="G126" s="42">
        <f t="shared" si="2"/>
        <v>0</v>
      </c>
      <c r="H126" s="43"/>
      <c r="I126" s="40" t="str">
        <f t="shared" si="7"/>
        <v>Fin du financement</v>
      </c>
      <c r="J126" s="41">
        <f t="shared" si="10"/>
        <v>0</v>
      </c>
      <c r="K126" s="41">
        <f t="shared" si="3"/>
        <v>0</v>
      </c>
      <c r="L126" s="42">
        <f t="shared" si="4"/>
        <v>0</v>
      </c>
    </row>
    <row r="127" ht="15.75" customHeight="1">
      <c r="B127" s="4"/>
      <c r="D127" s="40" t="str">
        <f t="shared" si="5"/>
        <v>Fin du financement</v>
      </c>
      <c r="E127" s="41">
        <f t="shared" si="9"/>
        <v>0</v>
      </c>
      <c r="F127" s="41">
        <f t="shared" si="1"/>
        <v>0</v>
      </c>
      <c r="G127" s="42">
        <f t="shared" si="2"/>
        <v>0</v>
      </c>
      <c r="H127" s="43"/>
      <c r="I127" s="40" t="str">
        <f t="shared" si="7"/>
        <v>Fin du financement</v>
      </c>
      <c r="J127" s="41">
        <f t="shared" si="10"/>
        <v>0</v>
      </c>
      <c r="K127" s="41">
        <f t="shared" si="3"/>
        <v>0</v>
      </c>
      <c r="L127" s="42">
        <f t="shared" si="4"/>
        <v>0</v>
      </c>
    </row>
    <row r="128" ht="15.75" customHeight="1">
      <c r="B128" s="4"/>
      <c r="D128" s="40" t="str">
        <f t="shared" si="5"/>
        <v>Fin du financement</v>
      </c>
      <c r="E128" s="41">
        <f t="shared" si="9"/>
        <v>0</v>
      </c>
      <c r="F128" s="41">
        <f t="shared" si="1"/>
        <v>0</v>
      </c>
      <c r="G128" s="42">
        <f t="shared" si="2"/>
        <v>0</v>
      </c>
      <c r="H128" s="43"/>
      <c r="I128" s="40" t="str">
        <f t="shared" si="7"/>
        <v>Fin du financement</v>
      </c>
      <c r="J128" s="41">
        <f t="shared" si="10"/>
        <v>0</v>
      </c>
      <c r="K128" s="41">
        <f t="shared" si="3"/>
        <v>0</v>
      </c>
      <c r="L128" s="42">
        <f t="shared" si="4"/>
        <v>0</v>
      </c>
    </row>
    <row r="129" ht="15.75" customHeight="1">
      <c r="B129" s="4"/>
      <c r="D129" s="40" t="str">
        <f t="shared" si="5"/>
        <v>Fin du financement</v>
      </c>
      <c r="E129" s="41">
        <f t="shared" si="9"/>
        <v>0</v>
      </c>
      <c r="F129" s="41">
        <f t="shared" si="1"/>
        <v>0</v>
      </c>
      <c r="G129" s="42">
        <f t="shared" si="2"/>
        <v>0</v>
      </c>
      <c r="H129" s="43"/>
      <c r="I129" s="40" t="str">
        <f t="shared" si="7"/>
        <v>Fin du financement</v>
      </c>
      <c r="J129" s="41">
        <f t="shared" si="10"/>
        <v>0</v>
      </c>
      <c r="K129" s="41">
        <f t="shared" si="3"/>
        <v>0</v>
      </c>
      <c r="L129" s="42">
        <f t="shared" si="4"/>
        <v>0</v>
      </c>
    </row>
    <row r="130" ht="15.75" customHeight="1">
      <c r="B130" s="4"/>
      <c r="D130" s="40" t="str">
        <f t="shared" si="5"/>
        <v>Fin du financement</v>
      </c>
      <c r="E130" s="41">
        <f t="shared" si="9"/>
        <v>0</v>
      </c>
      <c r="F130" s="41">
        <f t="shared" si="1"/>
        <v>0</v>
      </c>
      <c r="G130" s="42">
        <f t="shared" si="2"/>
        <v>0</v>
      </c>
      <c r="H130" s="43"/>
      <c r="I130" s="40" t="str">
        <f t="shared" si="7"/>
        <v>Fin du financement</v>
      </c>
      <c r="J130" s="41">
        <f t="shared" si="10"/>
        <v>0</v>
      </c>
      <c r="K130" s="41">
        <f t="shared" si="3"/>
        <v>0</v>
      </c>
      <c r="L130" s="42">
        <f t="shared" si="4"/>
        <v>0</v>
      </c>
    </row>
    <row r="131" ht="15.75" customHeight="1">
      <c r="B131" s="4"/>
      <c r="D131" s="40" t="str">
        <f t="shared" si="5"/>
        <v>Fin du financement</v>
      </c>
      <c r="E131" s="41">
        <f t="shared" si="9"/>
        <v>0</v>
      </c>
      <c r="F131" s="41">
        <f t="shared" si="1"/>
        <v>0</v>
      </c>
      <c r="G131" s="42">
        <f t="shared" si="2"/>
        <v>0</v>
      </c>
      <c r="H131" s="43"/>
      <c r="I131" s="40" t="str">
        <f t="shared" si="7"/>
        <v>Fin du financement</v>
      </c>
      <c r="J131" s="41">
        <f t="shared" si="10"/>
        <v>0</v>
      </c>
      <c r="K131" s="41">
        <f t="shared" si="3"/>
        <v>0</v>
      </c>
      <c r="L131" s="42">
        <f t="shared" si="4"/>
        <v>0</v>
      </c>
    </row>
    <row r="132" ht="15.75" customHeight="1">
      <c r="B132" s="4"/>
      <c r="D132" s="40" t="str">
        <f t="shared" si="5"/>
        <v>Fin du financement</v>
      </c>
      <c r="E132" s="41">
        <f t="shared" si="9"/>
        <v>0</v>
      </c>
      <c r="F132" s="41">
        <f t="shared" si="1"/>
        <v>0</v>
      </c>
      <c r="G132" s="42">
        <f t="shared" si="2"/>
        <v>0</v>
      </c>
      <c r="H132" s="43"/>
      <c r="I132" s="40" t="str">
        <f t="shared" si="7"/>
        <v>Fin du financement</v>
      </c>
      <c r="J132" s="41">
        <f t="shared" si="10"/>
        <v>0</v>
      </c>
      <c r="K132" s="41">
        <f t="shared" si="3"/>
        <v>0</v>
      </c>
      <c r="L132" s="42">
        <f t="shared" si="4"/>
        <v>0</v>
      </c>
    </row>
    <row r="133" ht="15.75" customHeight="1">
      <c r="B133" s="4"/>
      <c r="D133" s="40" t="str">
        <f t="shared" si="5"/>
        <v>Fin du financement</v>
      </c>
      <c r="E133" s="41">
        <f t="shared" si="9"/>
        <v>0</v>
      </c>
      <c r="F133" s="41">
        <f t="shared" si="1"/>
        <v>0</v>
      </c>
      <c r="G133" s="42">
        <f t="shared" si="2"/>
        <v>0</v>
      </c>
      <c r="H133" s="43"/>
      <c r="I133" s="40" t="str">
        <f t="shared" si="7"/>
        <v>Fin du financement</v>
      </c>
      <c r="J133" s="41">
        <f t="shared" si="10"/>
        <v>0</v>
      </c>
      <c r="K133" s="41">
        <f t="shared" si="3"/>
        <v>0</v>
      </c>
      <c r="L133" s="42">
        <f t="shared" si="4"/>
        <v>0</v>
      </c>
    </row>
    <row r="134" ht="15.75" customHeight="1">
      <c r="B134" s="4"/>
      <c r="D134" s="40" t="str">
        <f t="shared" si="5"/>
        <v>Fin du financement</v>
      </c>
      <c r="E134" s="41">
        <f t="shared" si="9"/>
        <v>0</v>
      </c>
      <c r="F134" s="41">
        <f t="shared" si="1"/>
        <v>0</v>
      </c>
      <c r="G134" s="42">
        <f t="shared" si="2"/>
        <v>0</v>
      </c>
      <c r="H134" s="43"/>
      <c r="I134" s="40" t="str">
        <f t="shared" si="7"/>
        <v>Fin du financement</v>
      </c>
      <c r="J134" s="41">
        <f t="shared" si="10"/>
        <v>0</v>
      </c>
      <c r="K134" s="41">
        <f t="shared" si="3"/>
        <v>0</v>
      </c>
      <c r="L134" s="42">
        <f t="shared" si="4"/>
        <v>0</v>
      </c>
    </row>
    <row r="135" ht="15.75" customHeight="1">
      <c r="B135" s="4"/>
      <c r="D135" s="40" t="str">
        <f t="shared" si="5"/>
        <v>Fin du financement</v>
      </c>
      <c r="E135" s="41">
        <f t="shared" si="9"/>
        <v>0</v>
      </c>
      <c r="F135" s="41">
        <f t="shared" si="1"/>
        <v>0</v>
      </c>
      <c r="G135" s="42">
        <f t="shared" si="2"/>
        <v>0</v>
      </c>
      <c r="H135" s="43"/>
      <c r="I135" s="40" t="str">
        <f t="shared" si="7"/>
        <v>Fin du financement</v>
      </c>
      <c r="J135" s="41">
        <f t="shared" si="10"/>
        <v>0</v>
      </c>
      <c r="K135" s="41">
        <f t="shared" si="3"/>
        <v>0</v>
      </c>
      <c r="L135" s="42">
        <f t="shared" si="4"/>
        <v>0</v>
      </c>
    </row>
    <row r="136" ht="15.75" customHeight="1">
      <c r="B136" s="4"/>
      <c r="D136" s="40" t="str">
        <f t="shared" si="5"/>
        <v>Fin du financement</v>
      </c>
      <c r="E136" s="41">
        <f t="shared" si="9"/>
        <v>0</v>
      </c>
      <c r="F136" s="41">
        <f t="shared" si="1"/>
        <v>0</v>
      </c>
      <c r="G136" s="42">
        <f t="shared" si="2"/>
        <v>0</v>
      </c>
      <c r="H136" s="43"/>
      <c r="I136" s="40" t="str">
        <f t="shared" si="7"/>
        <v>Fin du financement</v>
      </c>
      <c r="J136" s="41">
        <f t="shared" si="10"/>
        <v>0</v>
      </c>
      <c r="K136" s="41">
        <f t="shared" si="3"/>
        <v>0</v>
      </c>
      <c r="L136" s="42">
        <f t="shared" si="4"/>
        <v>0</v>
      </c>
    </row>
    <row r="137" ht="15.75" customHeight="1">
      <c r="B137" s="4"/>
      <c r="D137" s="40" t="str">
        <f t="shared" si="5"/>
        <v>Fin du financement</v>
      </c>
      <c r="E137" s="41">
        <f t="shared" si="9"/>
        <v>0</v>
      </c>
      <c r="F137" s="41">
        <f t="shared" si="1"/>
        <v>0</v>
      </c>
      <c r="G137" s="42">
        <f t="shared" si="2"/>
        <v>0</v>
      </c>
      <c r="H137" s="43"/>
      <c r="I137" s="40" t="str">
        <f t="shared" si="7"/>
        <v>Fin du financement</v>
      </c>
      <c r="J137" s="41">
        <f t="shared" si="10"/>
        <v>0</v>
      </c>
      <c r="K137" s="41">
        <f t="shared" si="3"/>
        <v>0</v>
      </c>
      <c r="L137" s="42">
        <f t="shared" si="4"/>
        <v>0</v>
      </c>
    </row>
    <row r="138" ht="15.75" customHeight="1">
      <c r="B138" s="4"/>
      <c r="D138" s="40" t="str">
        <f t="shared" si="5"/>
        <v>Fin du financement</v>
      </c>
      <c r="E138" s="41">
        <f t="shared" si="9"/>
        <v>0</v>
      </c>
      <c r="F138" s="41">
        <f t="shared" si="1"/>
        <v>0</v>
      </c>
      <c r="G138" s="42">
        <f t="shared" si="2"/>
        <v>0</v>
      </c>
      <c r="H138" s="43"/>
      <c r="I138" s="40" t="str">
        <f t="shared" si="7"/>
        <v>Fin du financement</v>
      </c>
      <c r="J138" s="41">
        <f t="shared" si="10"/>
        <v>0</v>
      </c>
      <c r="K138" s="41">
        <f t="shared" si="3"/>
        <v>0</v>
      </c>
      <c r="L138" s="42">
        <f t="shared" si="4"/>
        <v>0</v>
      </c>
    </row>
    <row r="139" ht="15.75" customHeight="1">
      <c r="B139" s="4"/>
      <c r="D139" s="40" t="str">
        <f t="shared" si="5"/>
        <v>Fin du financement</v>
      </c>
      <c r="E139" s="41">
        <f t="shared" si="9"/>
        <v>0</v>
      </c>
      <c r="F139" s="41">
        <f t="shared" si="1"/>
        <v>0</v>
      </c>
      <c r="G139" s="42">
        <f t="shared" si="2"/>
        <v>0</v>
      </c>
      <c r="H139" s="43"/>
      <c r="I139" s="40" t="str">
        <f t="shared" si="7"/>
        <v>Fin du financement</v>
      </c>
      <c r="J139" s="41">
        <f t="shared" si="10"/>
        <v>0</v>
      </c>
      <c r="K139" s="41">
        <f t="shared" si="3"/>
        <v>0</v>
      </c>
      <c r="L139" s="42">
        <f t="shared" si="4"/>
        <v>0</v>
      </c>
    </row>
    <row r="140" ht="15.75" customHeight="1">
      <c r="B140" s="4"/>
      <c r="D140" s="40" t="str">
        <f t="shared" si="5"/>
        <v>Fin du financement</v>
      </c>
      <c r="E140" s="41">
        <f t="shared" si="9"/>
        <v>0</v>
      </c>
      <c r="F140" s="41">
        <f t="shared" si="1"/>
        <v>0</v>
      </c>
      <c r="G140" s="42">
        <f t="shared" si="2"/>
        <v>0</v>
      </c>
      <c r="H140" s="43"/>
      <c r="I140" s="40" t="str">
        <f t="shared" si="7"/>
        <v>Fin du financement</v>
      </c>
      <c r="J140" s="41">
        <f t="shared" si="10"/>
        <v>0</v>
      </c>
      <c r="K140" s="41">
        <f t="shared" si="3"/>
        <v>0</v>
      </c>
      <c r="L140" s="42">
        <f t="shared" si="4"/>
        <v>0</v>
      </c>
    </row>
    <row r="141" ht="15.75" customHeight="1">
      <c r="B141" s="4"/>
      <c r="D141" s="40" t="str">
        <f t="shared" si="5"/>
        <v>Fin du financement</v>
      </c>
      <c r="E141" s="41">
        <f t="shared" si="9"/>
        <v>0</v>
      </c>
      <c r="F141" s="41">
        <f t="shared" si="1"/>
        <v>0</v>
      </c>
      <c r="G141" s="42">
        <f t="shared" si="2"/>
        <v>0</v>
      </c>
      <c r="H141" s="43"/>
      <c r="I141" s="40" t="str">
        <f t="shared" si="7"/>
        <v>Fin du financement</v>
      </c>
      <c r="J141" s="41">
        <f t="shared" si="10"/>
        <v>0</v>
      </c>
      <c r="K141" s="41">
        <f t="shared" si="3"/>
        <v>0</v>
      </c>
      <c r="L141" s="42">
        <f t="shared" si="4"/>
        <v>0</v>
      </c>
    </row>
    <row r="142" ht="15.75" customHeight="1">
      <c r="B142" s="4"/>
      <c r="D142" s="40" t="str">
        <f t="shared" si="5"/>
        <v>Fin du financement</v>
      </c>
      <c r="E142" s="41">
        <f t="shared" si="9"/>
        <v>0</v>
      </c>
      <c r="F142" s="41">
        <f t="shared" si="1"/>
        <v>0</v>
      </c>
      <c r="G142" s="42">
        <f t="shared" si="2"/>
        <v>0</v>
      </c>
      <c r="H142" s="43"/>
      <c r="I142" s="40" t="str">
        <f t="shared" si="7"/>
        <v>Fin du financement</v>
      </c>
      <c r="J142" s="41">
        <f t="shared" si="10"/>
        <v>0</v>
      </c>
      <c r="K142" s="41">
        <f t="shared" si="3"/>
        <v>0</v>
      </c>
      <c r="L142" s="42">
        <f t="shared" si="4"/>
        <v>0</v>
      </c>
    </row>
    <row r="143" ht="15.75" customHeight="1">
      <c r="B143" s="4"/>
      <c r="D143" s="40" t="str">
        <f t="shared" si="5"/>
        <v>Fin du financement</v>
      </c>
      <c r="E143" s="41">
        <f t="shared" si="9"/>
        <v>0</v>
      </c>
      <c r="F143" s="41">
        <f t="shared" si="1"/>
        <v>0</v>
      </c>
      <c r="G143" s="42">
        <f t="shared" si="2"/>
        <v>0</v>
      </c>
      <c r="H143" s="43"/>
      <c r="I143" s="40" t="str">
        <f t="shared" si="7"/>
        <v>Fin du financement</v>
      </c>
      <c r="J143" s="41">
        <f t="shared" si="10"/>
        <v>0</v>
      </c>
      <c r="K143" s="41">
        <f t="shared" si="3"/>
        <v>0</v>
      </c>
      <c r="L143" s="42">
        <f t="shared" si="4"/>
        <v>0</v>
      </c>
    </row>
    <row r="144" ht="15.75" customHeight="1">
      <c r="B144" s="4"/>
      <c r="D144" s="40" t="str">
        <f t="shared" si="5"/>
        <v>Fin du financement</v>
      </c>
      <c r="E144" s="41">
        <f t="shared" si="9"/>
        <v>0</v>
      </c>
      <c r="F144" s="41">
        <f t="shared" si="1"/>
        <v>0</v>
      </c>
      <c r="G144" s="42">
        <f t="shared" si="2"/>
        <v>0</v>
      </c>
      <c r="H144" s="43"/>
      <c r="I144" s="40" t="str">
        <f t="shared" si="7"/>
        <v>Fin du financement</v>
      </c>
      <c r="J144" s="41">
        <f t="shared" si="10"/>
        <v>0</v>
      </c>
      <c r="K144" s="41">
        <f t="shared" si="3"/>
        <v>0</v>
      </c>
      <c r="L144" s="42">
        <f t="shared" si="4"/>
        <v>0</v>
      </c>
    </row>
    <row r="145" ht="15.75" customHeight="1">
      <c r="B145" s="4"/>
      <c r="D145" s="40" t="str">
        <f t="shared" si="5"/>
        <v>Fin du financement</v>
      </c>
      <c r="E145" s="41">
        <f t="shared" si="9"/>
        <v>0</v>
      </c>
      <c r="F145" s="41">
        <f t="shared" si="1"/>
        <v>0</v>
      </c>
      <c r="G145" s="42">
        <f t="shared" si="2"/>
        <v>0</v>
      </c>
      <c r="H145" s="43"/>
      <c r="I145" s="40" t="str">
        <f t="shared" si="7"/>
        <v>Fin du financement</v>
      </c>
      <c r="J145" s="41">
        <f t="shared" si="10"/>
        <v>0</v>
      </c>
      <c r="K145" s="41">
        <f t="shared" si="3"/>
        <v>0</v>
      </c>
      <c r="L145" s="42">
        <f t="shared" si="4"/>
        <v>0</v>
      </c>
    </row>
    <row r="146" ht="15.75" customHeight="1">
      <c r="B146" s="4"/>
      <c r="D146" s="40" t="str">
        <f t="shared" si="5"/>
        <v>Fin du financement</v>
      </c>
      <c r="E146" s="41">
        <f t="shared" si="9"/>
        <v>0</v>
      </c>
      <c r="F146" s="41">
        <f t="shared" si="1"/>
        <v>0</v>
      </c>
      <c r="G146" s="42">
        <f t="shared" si="2"/>
        <v>0</v>
      </c>
      <c r="H146" s="43"/>
      <c r="I146" s="40" t="str">
        <f t="shared" si="7"/>
        <v>Fin du financement</v>
      </c>
      <c r="J146" s="41">
        <f t="shared" si="10"/>
        <v>0</v>
      </c>
      <c r="K146" s="41">
        <f t="shared" si="3"/>
        <v>0</v>
      </c>
      <c r="L146" s="42">
        <f t="shared" si="4"/>
        <v>0</v>
      </c>
    </row>
    <row r="147" ht="15.75" customHeight="1">
      <c r="B147" s="4"/>
      <c r="D147" s="40" t="str">
        <f t="shared" si="5"/>
        <v>Fin du financement</v>
      </c>
      <c r="E147" s="41">
        <f t="shared" si="9"/>
        <v>0</v>
      </c>
      <c r="F147" s="41">
        <f t="shared" si="1"/>
        <v>0</v>
      </c>
      <c r="G147" s="42">
        <f t="shared" si="2"/>
        <v>0</v>
      </c>
      <c r="H147" s="43"/>
      <c r="I147" s="40" t="str">
        <f t="shared" si="7"/>
        <v>Fin du financement</v>
      </c>
      <c r="J147" s="41">
        <f t="shared" si="10"/>
        <v>0</v>
      </c>
      <c r="K147" s="41">
        <f t="shared" si="3"/>
        <v>0</v>
      </c>
      <c r="L147" s="42">
        <f t="shared" si="4"/>
        <v>0</v>
      </c>
    </row>
    <row r="148" ht="15.75" customHeight="1">
      <c r="B148" s="4"/>
      <c r="D148" s="40" t="str">
        <f t="shared" si="5"/>
        <v>Fin du financement</v>
      </c>
      <c r="E148" s="41">
        <f t="shared" si="9"/>
        <v>0</v>
      </c>
      <c r="F148" s="41">
        <f t="shared" si="1"/>
        <v>0</v>
      </c>
      <c r="G148" s="42">
        <f t="shared" si="2"/>
        <v>0</v>
      </c>
      <c r="H148" s="43"/>
      <c r="I148" s="40" t="str">
        <f t="shared" si="7"/>
        <v>Fin du financement</v>
      </c>
      <c r="J148" s="41">
        <f t="shared" si="10"/>
        <v>0</v>
      </c>
      <c r="K148" s="41">
        <f t="shared" si="3"/>
        <v>0</v>
      </c>
      <c r="L148" s="42">
        <f t="shared" si="4"/>
        <v>0</v>
      </c>
    </row>
    <row r="149" ht="15.75" customHeight="1">
      <c r="B149" s="4"/>
      <c r="D149" s="40" t="str">
        <f t="shared" si="5"/>
        <v>Fin du financement</v>
      </c>
      <c r="E149" s="41">
        <f t="shared" si="9"/>
        <v>0</v>
      </c>
      <c r="F149" s="41">
        <f t="shared" si="1"/>
        <v>0</v>
      </c>
      <c r="G149" s="42">
        <f t="shared" si="2"/>
        <v>0</v>
      </c>
      <c r="H149" s="43"/>
      <c r="I149" s="40" t="str">
        <f t="shared" si="7"/>
        <v>Fin du financement</v>
      </c>
      <c r="J149" s="41">
        <f t="shared" si="10"/>
        <v>0</v>
      </c>
      <c r="K149" s="41">
        <f t="shared" si="3"/>
        <v>0</v>
      </c>
      <c r="L149" s="42">
        <f t="shared" si="4"/>
        <v>0</v>
      </c>
    </row>
    <row r="150" ht="15.75" customHeight="1">
      <c r="B150" s="4"/>
      <c r="D150" s="40" t="str">
        <f t="shared" si="5"/>
        <v>Fin du financement</v>
      </c>
      <c r="E150" s="41">
        <f t="shared" si="9"/>
        <v>0</v>
      </c>
      <c r="F150" s="41">
        <f t="shared" si="1"/>
        <v>0</v>
      </c>
      <c r="G150" s="42">
        <f t="shared" si="2"/>
        <v>0</v>
      </c>
      <c r="H150" s="43"/>
      <c r="I150" s="40" t="str">
        <f t="shared" si="7"/>
        <v>Fin du financement</v>
      </c>
      <c r="J150" s="41">
        <f t="shared" si="10"/>
        <v>0</v>
      </c>
      <c r="K150" s="41">
        <f t="shared" si="3"/>
        <v>0</v>
      </c>
      <c r="L150" s="42">
        <f t="shared" si="4"/>
        <v>0</v>
      </c>
    </row>
    <row r="151" ht="15.75" customHeight="1">
      <c r="B151" s="4"/>
      <c r="D151" s="40" t="str">
        <f t="shared" si="5"/>
        <v>Fin du financement</v>
      </c>
      <c r="E151" s="41">
        <f t="shared" si="9"/>
        <v>0</v>
      </c>
      <c r="F151" s="41">
        <f t="shared" si="1"/>
        <v>0</v>
      </c>
      <c r="G151" s="42">
        <f>IF(D151&lt;=$F$12,F151-E151-IF(D151=$F$12,SUM(#REF!),0),0)</f>
        <v>0</v>
      </c>
      <c r="H151" s="43"/>
      <c r="I151" s="40" t="str">
        <f t="shared" si="7"/>
        <v>Fin du financement</v>
      </c>
      <c r="J151" s="41">
        <f t="shared" si="10"/>
        <v>0</v>
      </c>
      <c r="K151" s="41">
        <f t="shared" si="3"/>
        <v>0</v>
      </c>
      <c r="L151" s="42">
        <f>IF(I151&lt;=$F$12,K151-J151-IF(I151=$F$12,SUM(#REF!),0),0)</f>
        <v>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7">
    <mergeCell ref="B3:B20"/>
    <mergeCell ref="D12:D15"/>
    <mergeCell ref="D17:D20"/>
    <mergeCell ref="B27:B39"/>
    <mergeCell ref="D29:D33"/>
    <mergeCell ref="D35:D39"/>
    <mergeCell ref="B53:B151"/>
  </mergeCells>
  <printOptions/>
  <pageMargins bottom="0.75" footer="0.0" header="0.0" left="0.7" right="0.7" top="0.75"/>
  <pageSetup orientation="landscape"/>
  <drawing r:id="rId2"/>
  <legacyDrawing r:id="rId3"/>
</worksheet>
</file>